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School\Vanderbilt\Spring 2023\CS 6381 Distributed Systems\Assignment2\PA2.3\Graphs\"/>
    </mc:Choice>
  </mc:AlternateContent>
  <xr:revisionPtr revIDLastSave="0" documentId="13_ncr:1_{AA77A26D-89DF-4DBA-ADF4-9140861037B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Graphs" sheetId="5" r:id="rId1"/>
    <sheet name="Direct Central" sheetId="1" r:id="rId2"/>
    <sheet name="Direct Distributed" sheetId="2" r:id="rId3"/>
    <sheet name="Broker Central" sheetId="3" r:id="rId4"/>
    <sheet name="Broker Distribute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5" l="1"/>
  <c r="Z2" i="5"/>
  <c r="Y2" i="5"/>
  <c r="F9" i="4"/>
  <c r="D9" i="4"/>
  <c r="B9" i="4"/>
  <c r="S2" i="5"/>
  <c r="R2" i="5"/>
  <c r="Q2" i="5"/>
  <c r="F9" i="3"/>
  <c r="D9" i="3"/>
  <c r="B9" i="3"/>
  <c r="K2" i="5"/>
  <c r="J2" i="5"/>
  <c r="I2" i="5"/>
  <c r="F9" i="2"/>
  <c r="D9" i="2"/>
  <c r="B9" i="2"/>
  <c r="C2" i="5"/>
  <c r="B2" i="5"/>
  <c r="A2" i="5"/>
  <c r="F9" i="1"/>
  <c r="D9" i="1"/>
  <c r="B9" i="1"/>
</calcChain>
</file>

<file path=xl/sharedStrings.xml><?xml version="1.0" encoding="utf-8"?>
<sst xmlns="http://schemas.openxmlformats.org/spreadsheetml/2006/main" count="742" uniqueCount="492">
  <si>
    <t>2023-02-28 15:12:22,129 - PubAppln - INFO - Publisher app configured.</t>
  </si>
  <si>
    <t>2023-02-28 15:12:22,129 - PubAppln - INFO - Registering app with discovery service.</t>
  </si>
  <si>
    <t>2023-02-28 15:12:22,133 - PubAppln - INFO - Publisher app registered.</t>
  </si>
  <si>
    <t>2023-02-28 15:12:22,133 - PubAppln - INFO - Waiting for all ready from discovery service.</t>
  </si>
  <si>
    <t>2023-02-28 15:12:27,140 - PubAppln - INFO - All sub and pub apps registered and ready.</t>
  </si>
  <si>
    <t>2023-02-28 15:12:28,141 - PubAppln - INFO - Disseminating info on our topics.</t>
  </si>
  <si>
    <t>2023-02-28 15:12:28,141 - PubAppln - INFO - Dissemination finished. Exiting.</t>
  </si>
  <si>
    <t>2023-02-28 15:12:23,117 - PubAppln - INFO - Publisher app configured.</t>
  </si>
  <si>
    <t>2023-02-28 15:12:23,117 - PubAppln - INFO - Registering app with discovery service.</t>
  </si>
  <si>
    <t>2023-02-28 15:12:23,121 - PubAppln - INFO - Publisher app registered.</t>
  </si>
  <si>
    <t>2023-02-28 15:12:23,121 - PubAppln - INFO - Waiting for all ready from discovery service.</t>
  </si>
  <si>
    <t>2023-02-28 15:12:28,128 - PubAppln - INFO - All sub and pub apps registered and ready.</t>
  </si>
  <si>
    <t>2023-02-28 15:12:29,129 - PubAppln - INFO - Disseminating info on our topics.</t>
  </si>
  <si>
    <t>2023-02-28 15:12:29,130 - PubAppln - INFO - Dissemination finished. Exiting.</t>
  </si>
  <si>
    <t>2023-02-28 15:12:24,136 - PubAppln - INFO - Publisher app configured.</t>
  </si>
  <si>
    <t>2023-02-28 15:12:24,136 - PubAppln - INFO - Registering app with discovery service.</t>
  </si>
  <si>
    <t>2023-02-28 15:12:24,139 - PubAppln - INFO - Publisher app registered.</t>
  </si>
  <si>
    <t>2023-02-28 15:12:24,139 - PubAppln - INFO - Waiting for all ready from discovery service.</t>
  </si>
  <si>
    <t>2023-02-28 15:12:27,143 - PubAppln - INFO - All sub and pub apps registered and ready.</t>
  </si>
  <si>
    <t>2023-02-28 15:12:28,144 - PubAppln - INFO - Disseminating info on our topics.</t>
  </si>
  <si>
    <t>2023-02-28 15:12:28,144 - PubAppln - INFO - Dissemination finished. Exiting.</t>
  </si>
  <si>
    <t>2023-02-28 15:12:25,110 - SubAppln - INFO - Subscriber app configured.</t>
  </si>
  <si>
    <t>2023-02-28 15:12:25,110 - SubAppln - INFO - Registering app with discovery service.</t>
  </si>
  <si>
    <t>2023-02-28 15:12:25,112 - SubAppln - INFO - Subscriber app registered.</t>
  </si>
  <si>
    <t>2023-02-28 15:12:25,112 - SubAppln - INFO - Waiting for all ready from discovery service.</t>
  </si>
  <si>
    <t>2023-02-28 15:12:28,117 - SubAppln - INFO - All sub and pub apps registered and ready.</t>
  </si>
  <si>
    <t>2023-02-28 15:12:28,117 - SubAppln - INFO - Locating all publishers for our topics.</t>
  </si>
  <si>
    <t>2023-02-28 15:12:28,117 - SubAppln - INFO - Subscribing to relevant publishers.</t>
  </si>
  <si>
    <t>2023-02-28 15:12:28,118 - SubAppln - INFO - Subscribed to publisher: tcp://10.0.0.2:5566</t>
  </si>
  <si>
    <t>2023-02-28 15:12:28,118 - SubAppln - INFO - Subscribed to publisher: tcp://10.0.0.3:5566</t>
  </si>
  <si>
    <t>2023-02-28 15:12:28,118 - SubAppln - INFO - Subscribed to publisher: tcp://10.0.0.4:5566</t>
  </si>
  <si>
    <t>2023-02-28 15:12:28,142 - SubAppln - INFO - Message from publisher: location:Asia</t>
  </si>
  <si>
    <t>2023-02-28 15:12:28,142 - SubAppln - INFO - Message from publisher: airquality:good</t>
  </si>
  <si>
    <t>2023-02-28 15:12:28,142 - SubAppln - INFO - Message from publisher: pressure:996</t>
  </si>
  <si>
    <t>2023-02-28 15:12:28,142 - SubAppln - INFO - Message from publisher: weather:sunny</t>
  </si>
  <si>
    <t>2023-02-28 15:12:28,142 - SubAppln - INFO - Message from publisher: humidity:15.041918618405305</t>
  </si>
  <si>
    <t>2023-02-28 15:12:28,142 - SubAppln - INFO - Message from publisher: airquality:smog</t>
  </si>
  <si>
    <t>2023-02-28 15:12:28,142 - SubAppln - INFO - Message from publisher: pressure:1084</t>
  </si>
  <si>
    <t>2023-02-28 15:12:28,142 - SubAppln - INFO - Message from publisher: weather:icy</t>
  </si>
  <si>
    <t>2023-02-28 15:12:28,142 - SubAppln - INFO - Message from publisher: humidity:91.65551790595926</t>
  </si>
  <si>
    <t>2023-02-28 15:12:28,142 - SubAppln - INFO - Message from publisher: location:Africa</t>
  </si>
  <si>
    <t>2023-02-28 15:12:28,142 - SubAppln - INFO - Message from publisher: airquality:poor</t>
  </si>
  <si>
    <t>2023-02-28 15:12:28,142 - SubAppln - INFO - Message from publisher: pressure:871</t>
  </si>
  <si>
    <t>2023-02-28 15:12:28,142 - SubAppln - INFO - Message from publisher: weather:rainy</t>
  </si>
  <si>
    <t>2023-02-28 15:12:28,142 - SubAppln - INFO - Message from publisher: humidity:91.60762905566419</t>
  </si>
  <si>
    <t>2023-02-28 15:12:28,142 - SubAppln - INFO - Message from publisher: pressure:1065</t>
  </si>
  <si>
    <t>2023-02-28 15:12:28,142 - SubAppln - INFO - Message from publisher: weather:foggy</t>
  </si>
  <si>
    <t>2023-02-28 15:12:28,142 - SubAppln - INFO - Message from publisher: humidity:48.03981782580423</t>
  </si>
  <si>
    <t>2023-02-28 15:12:28,142 - SubAppln - INFO - Message from publisher: location:Australia</t>
  </si>
  <si>
    <t>2023-02-28 15:12:28,142 - SubAppln - INFO - Message from publisher: pressure:974</t>
  </si>
  <si>
    <t>2023-02-28 15:12:28,142 - SubAppln - INFO - Message from publisher: humidity:96.24692454423423</t>
  </si>
  <si>
    <t>2023-02-28 15:12:28,145 - SubAppln - INFO - Message from publisher: sound:44</t>
  </si>
  <si>
    <t>2023-02-28 15:12:28,145 - SubAppln - INFO - Message from publisher: airquality:poor</t>
  </si>
  <si>
    <t>2023-02-28 15:12:28,145 - SubAppln - INFO - Message from publisher: pressure:1017</t>
  </si>
  <si>
    <t>2023-02-28 15:12:28,145 - SubAppln - INFO - Message from publisher: humidity:54.716065328618676</t>
  </si>
  <si>
    <t>2023-02-28 15:12:28,145 - SubAppln - INFO - Message from publisher: weather:foggy</t>
  </si>
  <si>
    <t>2023-02-28 15:12:28,145 - SubAppln - INFO - Message from publisher: sound:73</t>
  </si>
  <si>
    <t>2023-02-28 15:12:28,145 - SubAppln - INFO - Message from publisher: pressure:970</t>
  </si>
  <si>
    <t>2023-02-28 15:12:28,145 - SubAppln - INFO - Message from publisher: humidity:74.13051755649298</t>
  </si>
  <si>
    <t>2023-02-28 15:12:28,145 - SubAppln - INFO - Message from publisher: weather:sunny</t>
  </si>
  <si>
    <t>2023-02-28 15:12:28,145 - SubAppln - INFO - Message from publisher: sound:79</t>
  </si>
  <si>
    <t>2023-02-28 15:12:28,145 - SubAppln - INFO - Message from publisher: airquality:good</t>
  </si>
  <si>
    <t>2023-02-28 15:12:28,145 - SubAppln - INFO - Message from publisher: pressure:886</t>
  </si>
  <si>
    <t>2023-02-28 15:12:28,145 - SubAppln - INFO - Message from publisher: humidity:22.155142949685974</t>
  </si>
  <si>
    <t>2023-02-28 15:12:28,145 - SubAppln - INFO - Message from publisher: sound:69</t>
  </si>
  <si>
    <t>2023-02-28 15:12:28,145 - SubAppln - INFO - Message from publisher: pressure:1063</t>
  </si>
  <si>
    <t>2023-02-28 15:12:28,145 - SubAppln - INFO - Message from publisher: humidity:74.35909018559931</t>
  </si>
  <si>
    <t>2023-02-28 15:12:28,145 - SubAppln - INFO - Message from publisher: weather:rainy</t>
  </si>
  <si>
    <t>2023-02-28 15:12:28,145 - SubAppln - INFO - Message from publisher: sound:94</t>
  </si>
  <si>
    <t>2023-02-28 15:12:28,145 - SubAppln - INFO - Message from publisher: pressure:998</t>
  </si>
  <si>
    <t>2023-02-28 15:12:28,145 - SubAppln - INFO - Message from publisher: humidity:55.14343169886022</t>
  </si>
  <si>
    <t>2023-02-28 15:12:29,130 - SubAppln - INFO - Message from publisher: pressure:946</t>
  </si>
  <si>
    <t>2023-02-28 15:12:29,130 - SubAppln - INFO - Message from publisher: airquality:poor</t>
  </si>
  <si>
    <t>2023-02-28 15:12:29,130 - SubAppln - INFO - Message from publisher: pressure:975</t>
  </si>
  <si>
    <t>2023-02-28 15:12:29,130 - SubAppln - INFO - Message from publisher: airquality:smog</t>
  </si>
  <si>
    <t>2023-02-28 15:12:29,130 - SubAppln - INFO - Message from publisher: pressure:1039</t>
  </si>
  <si>
    <t>2023-02-28 15:12:29,130 - SubAppln - INFO - Message from publisher: airquality:good</t>
  </si>
  <si>
    <t>2023-02-28 15:12:29,130 - SubAppln - INFO - Message from publisher: pressure:917</t>
  </si>
  <si>
    <t>2023-02-28 15:12:29,130 - SubAppln - INFO - Message from publisher: pressure:877</t>
  </si>
  <si>
    <t>2023-02-28 15:12:26,126 - SubAppln - INFO - Subscriber app configured.</t>
  </si>
  <si>
    <t>2023-02-28 15:12:26,126 - SubAppln - INFO - Registering app with discovery service.</t>
  </si>
  <si>
    <t>2023-02-28 15:12:26,128 - SubAppln - INFO - Subscriber app registered.</t>
  </si>
  <si>
    <t>2023-02-28 15:12:26,128 - SubAppln - INFO - Waiting for all ready from discovery service.</t>
  </si>
  <si>
    <t>2023-02-28 15:12:28,132 - SubAppln - INFO - All sub and pub apps registered and ready.</t>
  </si>
  <si>
    <t>2023-02-28 15:12:28,132 - SubAppln - INFO - Locating all publishers for our topics.</t>
  </si>
  <si>
    <t>2023-02-28 15:12:28,132 - SubAppln - INFO - Subscribing to relevant publishers.</t>
  </si>
  <si>
    <t>2023-02-28 15:12:28,132 - SubAppln - INFO - Subscribed to publisher: tcp://10.0.0.2:5566</t>
  </si>
  <si>
    <t>2023-02-28 15:12:28,132 - SubAppln - INFO - Subscribed to publisher: tcp://10.0.0.3:5566</t>
  </si>
  <si>
    <t>2023-02-28 15:12:28,132 - SubAppln - INFO - Subscribed to publisher: tcp://10.0.0.4:5566</t>
  </si>
  <si>
    <t>2023-02-28 15:12:28,144 - SubAppln - INFO - Message from publisher: pressure:1017</t>
  </si>
  <si>
    <t>2023-02-28 15:12:27,131 - SubAppln - INFO - Subscriber app configured.</t>
  </si>
  <si>
    <t>2023-02-28 15:12:27,131 - SubAppln - INFO - Registering app with discovery service.</t>
  </si>
  <si>
    <t>2023-02-28 15:12:27,133 - SubAppln - INFO - Subscriber app registered.</t>
  </si>
  <si>
    <t>2023-02-28 15:12:27,133 - SubAppln - INFO - Waiting for all ready from discovery service.</t>
  </si>
  <si>
    <t>2023-02-28 15:12:27,134 - SubAppln - INFO - All sub and pub apps registered and ready.</t>
  </si>
  <si>
    <t>2023-02-28 15:12:27,134 - SubAppln - INFO - Locating all publishers for our topics.</t>
  </si>
  <si>
    <t>2023-02-28 15:12:27,135 - SubAppln - INFO - Subscribing to relevant publishers.</t>
  </si>
  <si>
    <t>2023-02-28 15:12:27,135 - SubAppln - INFO - Subscribed to publisher: tcp://10.0.0.2:5566</t>
  </si>
  <si>
    <t>2023-02-28 15:12:27,135 - SubAppln - INFO - Subscribed to publisher: tcp://10.0.0.4:5566</t>
  </si>
  <si>
    <t>2023-02-28 15:12:28,144 - SubAppln - INFO - Message from publisher: humidity:54.716065328618676</t>
  </si>
  <si>
    <t>2023-02-28 15:12:28,144 - SubAppln - INFO - Message from publisher: humidity:74.13051755649298</t>
  </si>
  <si>
    <t>2023-02-28 15:12:28,144 - SubAppln - INFO - Message from publisher: humidity:22.155142949685974</t>
  </si>
  <si>
    <t>2023-02-28 15:12:28,144 - SubAppln - INFO - Message from publisher: humidity:74.35909018559931</t>
  </si>
  <si>
    <t>2023-02-28 15:12:28,144 - SubAppln - INFO - Message from publisher: humidity:55.14343169886022</t>
  </si>
  <si>
    <t>2023-02-28 17:48:24,858 - PubAppln - INFO - Publisher app configured.</t>
  </si>
  <si>
    <t>2023-02-28 17:48:24,858 - PubAppln - INFO - Registering app with discovery service.</t>
  </si>
  <si>
    <t>2023-02-28 17:48:24,874 - PubAppln - INFO - Publisher app registered.</t>
  </si>
  <si>
    <t>2023-02-28 17:48:24,874 - PubAppln - INFO - Waiting for all ready from discovery service.</t>
  </si>
  <si>
    <t>2023-02-28 17:48:31,472 - PubAppln - INFO - All sub and pub apps registered and ready.</t>
  </si>
  <si>
    <t>2023-02-28 17:48:33,774 - PubAppln - INFO - Disseminating info on our topics.</t>
  </si>
  <si>
    <t>2023-02-28 17:48:33,775 - PubAppln - INFO - Dissemination finished. Exiting.</t>
  </si>
  <si>
    <t>2023-02-28 17:48:25,854 - PubAppln - INFO - Publisher app configured.</t>
  </si>
  <si>
    <t>2023-02-28 17:48:25,854 - PubAppln - INFO - Registering app with discovery service.</t>
  </si>
  <si>
    <t>2023-02-28 17:48:25,876 - PubAppln - INFO - Publisher app registered.</t>
  </si>
  <si>
    <t>2023-02-28 17:48:25,876 - PubAppln - INFO - Waiting for all ready from discovery service.</t>
  </si>
  <si>
    <t>2023-02-28 17:48:30,558 - PubAppln - INFO - All sub and pub apps registered and ready.</t>
  </si>
  <si>
    <t>2023-02-28 17:48:32,621 - PubAppln - INFO - Disseminating info on our topics.</t>
  </si>
  <si>
    <t>2023-02-28 17:48:32,621 - PubAppln - INFO - Dissemination finished. Exiting.</t>
  </si>
  <si>
    <t>2023-02-28 17:48:26,854 - PubAppln - INFO - Publisher app configured.</t>
  </si>
  <si>
    <t>2023-02-28 17:48:26,854 - PubAppln - INFO - Registering app with discovery service.</t>
  </si>
  <si>
    <t>2023-02-28 17:48:26,868 - PubAppln - INFO - Publisher app registered.</t>
  </si>
  <si>
    <t>2023-02-28 17:48:26,868 - PubAppln - INFO - Waiting for all ready from discovery service.</t>
  </si>
  <si>
    <t>2023-02-28 17:48:32,275 - PubAppln - INFO - All sub and pub apps registered and ready.</t>
  </si>
  <si>
    <t>2023-02-28 17:48:34,721 - PubAppln - INFO - Disseminating info on our topics.</t>
  </si>
  <si>
    <t>2023-02-28 17:48:34,722 - PubAppln - INFO - Dissemination finished. Exiting.</t>
  </si>
  <si>
    <t>2023-02-28 17:48:27,862 - SubAppln - INFO - Subscriber app configured.</t>
  </si>
  <si>
    <t>2023-02-28 17:48:27,863 - SubAppln - INFO - Registering app with discovery service.</t>
  </si>
  <si>
    <t>2023-02-28 17:48:27,879 - SubAppln - INFO - Subscriber app registered.</t>
  </si>
  <si>
    <t>2023-02-28 17:48:27,879 - SubAppln - INFO - Waiting for all ready from discovery service.</t>
  </si>
  <si>
    <t>2023-02-28 17:48:31,653 - SubAppln - INFO - All sub and pub apps registered and ready.</t>
  </si>
  <si>
    <t>2023-02-28 17:48:31,991 - SubAppln - INFO - Locating all publishers for our topics.</t>
  </si>
  <si>
    <t>2023-02-28 17:48:31,998 - SubAppln - INFO - Subscribing to relevant publishers.</t>
  </si>
  <si>
    <t>2023-02-28 17:48:31,998 - SubAppln - INFO - Subscribed to publisher: tcp://10.0.0.5:5566</t>
  </si>
  <si>
    <t>2023-02-28 17:48:31,998 - SubAppln - INFO - Subscribed to publisher: tcp://10.0.0.6:5566</t>
  </si>
  <si>
    <t>2023-02-28 17:48:31,998 - SubAppln - INFO - Subscribed to publisher: tcp://10.0.0.7:5566</t>
  </si>
  <si>
    <t>2023-02-28 17:48:32,621 - SubAppln - INFO - Message from publisher: airquality:smog</t>
  </si>
  <si>
    <t>2023-02-28 17:48:32,621 - SubAppln - INFO - Message from publisher: location:America</t>
  </si>
  <si>
    <t>2023-02-28 17:48:32,621 - SubAppln - INFO - Message from publisher: humidity:11.752330940118936</t>
  </si>
  <si>
    <t>2023-02-28 17:48:32,621 - SubAppln - INFO - Message from publisher: weather:icy</t>
  </si>
  <si>
    <t>2023-02-28 17:48:32,621 - SubAppln - INFO - Message from publisher: location:Europe</t>
  </si>
  <si>
    <t>2023-02-28 17:48:32,621 - SubAppln - INFO - Message from publisher: humidity:54.05703277123232</t>
  </si>
  <si>
    <t>2023-02-28 17:48:32,621 - SubAppln - INFO - Message from publisher: weather:cloudy</t>
  </si>
  <si>
    <t>2023-02-28 17:48:32,621 - SubAppln - INFO - Message from publisher: airquality:good</t>
  </si>
  <si>
    <t>2023-02-28 17:48:32,621 - SubAppln - INFO - Message from publisher: location:Australia</t>
  </si>
  <si>
    <t>2023-02-28 17:48:32,621 - SubAppln - INFO - Message from publisher: humidity:87.29774132803696</t>
  </si>
  <si>
    <t>2023-02-28 17:48:32,621 - SubAppln - INFO - Message from publisher: weather:foggy</t>
  </si>
  <si>
    <t>2023-02-28 17:48:32,621 - SubAppln - INFO - Message from publisher: location:Asia</t>
  </si>
  <si>
    <t>2023-02-28 17:48:32,621 - SubAppln - INFO - Message from publisher: humidity:85.78208640574842</t>
  </si>
  <si>
    <t>2023-02-28 17:48:32,622 - SubAppln - INFO - Message from publisher: airquality:smog</t>
  </si>
  <si>
    <t>2023-02-28 17:48:32,622 - SubAppln - INFO - Message from publisher: location:Africa</t>
  </si>
  <si>
    <t>2023-02-28 17:48:32,622 - SubAppln - INFO - Message from publisher: humidity:40.10898825133025</t>
  </si>
  <si>
    <t>2023-02-28 17:48:32,622 - SubAppln - INFO - Message from publisher: weather:rainy</t>
  </si>
  <si>
    <t>2023-02-28 17:48:33,775 - SubAppln - INFO - Message from publisher: location:Asia</t>
  </si>
  <si>
    <t>2023-02-28 17:48:33,775 - SubAppln - INFO - Message from publisher: airquality:poor</t>
  </si>
  <si>
    <t>2023-02-28 17:48:33,775 - SubAppln - INFO - Message from publisher: weather:foggy</t>
  </si>
  <si>
    <t>2023-02-28 17:48:33,775 - SubAppln - INFO - Message from publisher: humidity:41.9085300143908</t>
  </si>
  <si>
    <t>2023-02-28 17:48:33,775 - SubAppln - INFO - Message from publisher: location:Australia</t>
  </si>
  <si>
    <t>2023-02-28 17:48:33,775 - SubAppln - INFO - Message from publisher: airquality:smog</t>
  </si>
  <si>
    <t>2023-02-28 17:48:33,775 - SubAppln - INFO - Message from publisher: humidity:65.5059263798436</t>
  </si>
  <si>
    <t>2023-02-28 17:48:33,775 - SubAppln - INFO - Message from publisher: location:Europe</t>
  </si>
  <si>
    <t>2023-02-28 17:48:33,775 - SubAppln - INFO - Message from publisher: weather:cloudy</t>
  </si>
  <si>
    <t>2023-02-28 17:48:33,775 - SubAppln - INFO - Message from publisher: humidity:71.56406403433459</t>
  </si>
  <si>
    <t>2023-02-28 17:48:33,775 - SubAppln - INFO - Message from publisher: airquality:good</t>
  </si>
  <si>
    <t>2023-02-28 17:48:33,775 - SubAppln - INFO - Message from publisher: weather:sunny</t>
  </si>
  <si>
    <t>2023-02-28 17:48:33,775 - SubAppln - INFO - Message from publisher: humidity:40.15145097595684</t>
  </si>
  <si>
    <t>2023-02-28 17:48:33,775 - SubAppln - INFO - Message from publisher: humidity:83.46581613748164</t>
  </si>
  <si>
    <t>2023-02-28 17:48:34,722 - SubAppln - INFO - Message from publisher: humidity:82.65521591610715</t>
  </si>
  <si>
    <t>2023-02-28 17:48:34,722 - SubAppln - INFO - Message from publisher: humidity:67.97946110976548</t>
  </si>
  <si>
    <t>2023-02-28 17:48:34,722 - SubAppln - INFO - Message from publisher: humidity:90.24657852529167</t>
  </si>
  <si>
    <t>2023-02-28 17:48:34,722 - SubAppln - INFO - Message from publisher: humidity:17.068602890213622</t>
  </si>
  <si>
    <t>2023-02-28 17:48:34,722 - SubAppln - INFO - Message from publisher: humidity:14.078545647240338</t>
  </si>
  <si>
    <t>2023-02-28 17:48:28,860 - SubAppln - INFO - Subscriber app configured.</t>
  </si>
  <si>
    <t>2023-02-28 17:48:28,860 - SubAppln - INFO - Registering app with discovery service.</t>
  </si>
  <si>
    <t>2023-02-28 17:48:28,894 - SubAppln - INFO - Subscriber app registered.</t>
  </si>
  <si>
    <t>2023-02-28 17:48:28,894 - SubAppln - INFO - Waiting for all ready from discovery service.</t>
  </si>
  <si>
    <t>2023-02-28 17:48:30,811 - SubAppln - INFO - All sub and pub apps registered and ready.</t>
  </si>
  <si>
    <t>2023-02-28 17:48:31,275 - SubAppln - INFO - Locating all publishers for our topics.</t>
  </si>
  <si>
    <t>2023-02-28 17:48:31,346 - SubAppln - INFO - Subscribing to relevant publishers.</t>
  </si>
  <si>
    <t>2023-02-28 17:48:31,346 - SubAppln - INFO - Subscribed to publisher: tcp://10.0.0.5:5566</t>
  </si>
  <si>
    <t>2023-02-28 17:48:31,346 - SubAppln - INFO - Subscribed to publisher: tcp://10.0.0.6:5566</t>
  </si>
  <si>
    <t>2023-02-28 17:48:31,346 - SubAppln - INFO - Subscribed to publisher: tcp://10.0.0.7:5566</t>
  </si>
  <si>
    <t>2023-02-28 17:48:32,621 - SubAppln - INFO - Message from publisher: pressure:1000</t>
  </si>
  <si>
    <t>2023-02-28 17:48:32,621 - SubAppln - INFO - Message from publisher: temperature:16</t>
  </si>
  <si>
    <t>2023-02-28 17:48:32,621 - SubAppln - INFO - Message from publisher: light:1100</t>
  </si>
  <si>
    <t>2023-02-28 17:48:32,621 - SubAppln - INFO - Message from publisher: altitude:3455</t>
  </si>
  <si>
    <t>2023-02-28 17:48:32,621 - SubAppln - INFO - Message from publisher: sound:76</t>
  </si>
  <si>
    <t>2023-02-28 17:48:32,621 - SubAppln - INFO - Message from publisher: pressure:879</t>
  </si>
  <si>
    <t>2023-02-28 17:48:32,621 - SubAppln - INFO - Message from publisher: temperature:-51</t>
  </si>
  <si>
    <t>2023-02-28 17:48:32,621 - SubAppln - INFO - Message from publisher: light:450</t>
  </si>
  <si>
    <t>2023-02-28 17:48:32,621 - SubAppln - INFO - Message from publisher: altitude:32855</t>
  </si>
  <si>
    <t>2023-02-28 17:48:32,621 - SubAppln - INFO - Message from publisher: sound:62</t>
  </si>
  <si>
    <t>2023-02-28 17:48:32,622 - SubAppln - INFO - Message from publisher: weather:cloudy</t>
  </si>
  <si>
    <t>2023-02-28 17:48:32,622 - SubAppln - INFO - Message from publisher: airquality:good</t>
  </si>
  <si>
    <t>2023-02-28 17:48:32,622 - SubAppln - INFO - Message from publisher: pressure:916</t>
  </si>
  <si>
    <t>2023-02-28 17:48:32,622 - SubAppln - INFO - Message from publisher: temperature:-60</t>
  </si>
  <si>
    <t>2023-02-28 17:48:32,622 - SubAppln - INFO - Message from publisher: light:800</t>
  </si>
  <si>
    <t>2023-02-28 17:48:32,622 - SubAppln - INFO - Message from publisher: altitude:27918</t>
  </si>
  <si>
    <t>2023-02-28 17:48:32,622 - SubAppln - INFO - Message from publisher: sound:36</t>
  </si>
  <si>
    <t>2023-02-28 17:48:32,622 - SubAppln - INFO - Message from publisher: location:Australia</t>
  </si>
  <si>
    <t>2023-02-28 17:48:32,622 - SubAppln - INFO - Message from publisher: humidity:87.29774132803696</t>
  </si>
  <si>
    <t>2023-02-28 17:48:32,622 - SubAppln - INFO - Message from publisher: weather:foggy</t>
  </si>
  <si>
    <t>2023-02-28 17:48:32,622 - SubAppln - INFO - Message from publisher: pressure:988</t>
  </si>
  <si>
    <t>2023-02-28 17:48:32,622 - SubAppln - INFO - Message from publisher: temperature:56</t>
  </si>
  <si>
    <t>2023-02-28 17:48:32,622 - SubAppln - INFO - Message from publisher: light:1600</t>
  </si>
  <si>
    <t>2023-02-28 17:48:32,622 - SubAppln - INFO - Message from publisher: altitude:10798</t>
  </si>
  <si>
    <t>2023-02-28 17:48:32,622 - SubAppln - INFO - Message from publisher: sound:43</t>
  </si>
  <si>
    <t>2023-02-28 17:48:32,622 - SubAppln - INFO - Message from publisher: location:Asia</t>
  </si>
  <si>
    <t>2023-02-28 17:48:32,622 - SubAppln - INFO - Message from publisher: humidity:85.78208640574842</t>
  </si>
  <si>
    <t>2023-02-28 17:48:32,622 - SubAppln - INFO - Message from publisher: weather:icy</t>
  </si>
  <si>
    <t>2023-02-28 17:48:32,622 - SubAppln - INFO - Message from publisher: pressure:894</t>
  </si>
  <si>
    <t>2023-02-28 17:48:32,622 - SubAppln - INFO - Message from publisher: temperature:-100</t>
  </si>
  <si>
    <t>2023-02-28 17:48:32,622 - SubAppln - INFO - Message from publisher: altitude:13313</t>
  </si>
  <si>
    <t>2023-02-28 17:48:32,622 - SubAppln - INFO - Message from publisher: sound:75</t>
  </si>
  <si>
    <t>2023-02-28 17:48:33,775 - SubAppln - INFO - Message from publisher: pressure:885</t>
  </si>
  <si>
    <t>2023-02-28 17:48:33,775 - SubAppln - INFO - Message from publisher: temperature:-16</t>
  </si>
  <si>
    <t>2023-02-28 17:48:33,775 - SubAppln - INFO - Message from publisher: sound:55</t>
  </si>
  <si>
    <t>2023-02-28 17:48:33,775 - SubAppln - INFO - Message from publisher: altitude:37919</t>
  </si>
  <si>
    <t>2023-02-28 17:48:33,775 - SubAppln - INFO - Message from publisher: light:1100</t>
  </si>
  <si>
    <t>2023-02-28 17:48:33,775 - SubAppln - INFO - Message from publisher: pressure:960</t>
  </si>
  <si>
    <t>2023-02-28 17:48:33,775 - SubAppln - INFO - Message from publisher: temperature:11</t>
  </si>
  <si>
    <t>2023-02-28 17:48:33,775 - SubAppln - INFO - Message from publisher: sound:49</t>
  </si>
  <si>
    <t>2023-02-28 17:48:33,775 - SubAppln - INFO - Message from publisher: altitude:9014</t>
  </si>
  <si>
    <t>2023-02-28 17:48:33,775 - SubAppln - INFO - Message from publisher: light:450</t>
  </si>
  <si>
    <t>2023-02-28 17:48:33,775 - SubAppln - INFO - Message from publisher: pressure:962</t>
  </si>
  <si>
    <t>2023-02-28 17:48:33,775 - SubAppln - INFO - Message from publisher: temperature:-70</t>
  </si>
  <si>
    <t>2023-02-28 17:48:33,776 - SubAppln - INFO - Message from publisher: sound:46</t>
  </si>
  <si>
    <t>2023-02-28 17:48:33,776 - SubAppln - INFO - Message from publisher: airquality:poor</t>
  </si>
  <si>
    <t>2023-02-28 17:48:33,776 - SubAppln - INFO - Message from publisher: weather:cloudy</t>
  </si>
  <si>
    <t>2023-02-28 17:48:33,776 - SubAppln - INFO - Message from publisher: humidity:71.56406403433459</t>
  </si>
  <si>
    <t>2023-02-28 17:48:33,776 - SubAppln - INFO - Message from publisher: altitude:37545</t>
  </si>
  <si>
    <t>2023-02-28 17:48:33,776 - SubAppln - INFO - Message from publisher: light:1100</t>
  </si>
  <si>
    <t>2023-02-28 17:48:33,776 - SubAppln - INFO - Message from publisher: location:Europe</t>
  </si>
  <si>
    <t>2023-02-28 17:48:33,776 - SubAppln - INFO - Message from publisher: pressure:1027</t>
  </si>
  <si>
    <t>2023-02-28 17:48:33,776 - SubAppln - INFO - Message from publisher: temperature:-7</t>
  </si>
  <si>
    <t>2023-02-28 17:48:33,776 - SubAppln - INFO - Message from publisher: sound:84</t>
  </si>
  <si>
    <t>2023-02-28 17:48:33,776 - SubAppln - INFO - Message from publisher: airquality:good</t>
  </si>
  <si>
    <t>2023-02-28 17:48:33,776 - SubAppln - INFO - Message from publisher: weather:sunny</t>
  </si>
  <si>
    <t>2023-02-28 17:48:33,776 - SubAppln - INFO - Message from publisher: humidity:40.15145097595684</t>
  </si>
  <si>
    <t>2023-02-28 17:48:33,776 - SubAppln - INFO - Message from publisher: altitude:38901</t>
  </si>
  <si>
    <t>2023-02-28 17:48:33,776 - SubAppln - INFO - Message from publisher: light:450</t>
  </si>
  <si>
    <t>2023-02-28 17:48:33,776 - SubAppln - INFO - Message from publisher: pressure:897</t>
  </si>
  <si>
    <t>2023-02-28 17:48:33,776 - SubAppln - INFO - Message from publisher: temperature:75</t>
  </si>
  <si>
    <t>2023-02-28 17:48:33,776 - SubAppln - INFO - Message from publisher: sound:73</t>
  </si>
  <si>
    <t>2023-02-28 17:48:33,776 - SubAppln - INFO - Message from publisher: humidity:83.46581613748164</t>
  </si>
  <si>
    <t>2023-02-28 17:48:33,776 - SubAppln - INFO - Message from publisher: altitude:19879</t>
  </si>
  <si>
    <t>2023-02-28 17:48:29,847 - SubAppln - INFO - Subscriber app configured.</t>
  </si>
  <si>
    <t>2023-02-28 17:48:29,847 - SubAppln - INFO - Registering app with discovery service.</t>
  </si>
  <si>
    <t>2023-02-28 17:48:29,877 - SubAppln - INFO - Subscriber app registered.</t>
  </si>
  <si>
    <t>2023-02-28 17:48:29,877 - SubAppln - INFO - Waiting for all ready from discovery service.</t>
  </si>
  <si>
    <t>2023-02-28 17:48:29,877 - SubAppln - INFO - All sub and pub apps registered and ready.</t>
  </si>
  <si>
    <t>2023-02-28 17:48:30,120 - SubAppln - INFO - Locating all publishers for our topics.</t>
  </si>
  <si>
    <t>2023-02-28 17:48:30,156 - SubAppln - INFO - Subscribing to relevant publishers.</t>
  </si>
  <si>
    <t>2023-02-28 17:48:30,157 - SubAppln - INFO - Subscribed to publisher: tcp://10.0.0.5:5566</t>
  </si>
  <si>
    <t>2023-02-28 17:48:30,157 - SubAppln - INFO - Subscribed to publisher: tcp://10.0.0.6:5566</t>
  </si>
  <si>
    <t>2023-02-28 17:48:30,157 - SubAppln - INFO - Subscribed to publisher: tcp://10.0.0.7:5566</t>
  </si>
  <si>
    <t>2023-02-28 17:48:33,775 - SubAppln - INFO - Message from publisher: sound:46</t>
  </si>
  <si>
    <t>2023-02-28 17:48:33,775 - SubAppln - INFO - Message from publisher: altitude:37545</t>
  </si>
  <si>
    <t>2023-02-28 17:48:33,775 - SubAppln - INFO - Message from publisher: pressure:1027</t>
  </si>
  <si>
    <t>2023-02-28 17:48:33,775 - SubAppln - INFO - Message from publisher: temperature:-7</t>
  </si>
  <si>
    <t>2023-02-28 17:48:33,775 - SubAppln - INFO - Message from publisher: sound:84</t>
  </si>
  <si>
    <t>2023-02-28 15:11:30,473 - PubAppln - INFO - Publisher app configured.</t>
  </si>
  <si>
    <t>2023-02-28 15:11:30,473 - PubAppln - INFO - Registering app with discovery service.</t>
  </si>
  <si>
    <t>2023-02-28 15:11:30,475 - PubAppln - INFO - Publisher app registered.</t>
  </si>
  <si>
    <t>2023-02-28 15:11:30,475 - PubAppln - INFO - Waiting for all ready from discovery service.</t>
  </si>
  <si>
    <t>2023-02-28 15:11:36,484 - PubAppln - INFO - All sub and pub apps registered and ready.</t>
  </si>
  <si>
    <t>2023-02-28 15:11:37,486 - PubAppln - INFO - Disseminating info on our topics.</t>
  </si>
  <si>
    <t>2023-02-28 15:11:37,486 - PubAppln - INFO - Dissemination finished. Exiting.</t>
  </si>
  <si>
    <t>2023-02-28 15:11:31,491 - PubAppln - INFO - Publisher app configured.</t>
  </si>
  <si>
    <t>2023-02-28 15:11:31,491 - PubAppln - INFO - Registering app with discovery service.</t>
  </si>
  <si>
    <t>2023-02-28 15:11:31,493 - PubAppln - INFO - Publisher app registered.</t>
  </si>
  <si>
    <t>2023-02-28 15:11:31,493 - PubAppln - INFO - Waiting for all ready from discovery service.</t>
  </si>
  <si>
    <t>2023-02-28 15:11:35,499 - PubAppln - INFO - All sub and pub apps registered and ready.</t>
  </si>
  <si>
    <t>2023-02-28 15:11:36,500 - PubAppln - INFO - Disseminating info on our topics.</t>
  </si>
  <si>
    <t>2023-02-28 15:11:36,500 - PubAppln - INFO - Dissemination finished. Exiting.</t>
  </si>
  <si>
    <t>2023-02-28 15:11:32,491 - PubAppln - INFO - Publisher app configured.</t>
  </si>
  <si>
    <t>2023-02-28 15:11:32,491 - PubAppln - INFO - Registering app with discovery service.</t>
  </si>
  <si>
    <t>2023-02-28 15:11:32,493 - PubAppln - INFO - Publisher app registered.</t>
  </si>
  <si>
    <t>2023-02-28 15:11:32,493 - PubAppln - INFO - Waiting for all ready from discovery service.</t>
  </si>
  <si>
    <t>2023-02-28 15:11:35,497 - PubAppln - INFO - All sub and pub apps registered and ready.</t>
  </si>
  <si>
    <t>2023-02-28 15:11:36,498 - PubAppln - INFO - Disseminating info on our topics.</t>
  </si>
  <si>
    <t>2023-02-28 15:11:36,499 - PubAppln - INFO - Dissemination finished. Exiting.</t>
  </si>
  <si>
    <t>2023-02-28 15:11:33,509 - SubAppln - INFO - Subscriber app configured.</t>
  </si>
  <si>
    <t>2023-02-28 15:11:33,509 - SubAppln - INFO - Registering app with discovery service.</t>
  </si>
  <si>
    <t>2023-02-28 15:11:33,513 - SubAppln - INFO - Subscriber app registered.</t>
  </si>
  <si>
    <t>2023-02-28 15:11:33,513 - SubAppln - INFO - Waiting for all ready from discovery service.</t>
  </si>
  <si>
    <t>2023-02-28 15:11:35,517 - SubAppln - INFO - All sub and pub apps registered and ready.</t>
  </si>
  <si>
    <t>2023-02-28 15:11:35,517 - SubAppln - INFO - Locating all publishers for our topics.</t>
  </si>
  <si>
    <t>2023-02-28 15:11:35,517 - SubAppln - INFO - Subscribing to relevant publishers.</t>
  </si>
  <si>
    <t>2023-02-28 15:11:35,517 - SubAppln - INFO - Subscribed to publisher: tcp://10.0.0.2:5588</t>
  </si>
  <si>
    <t>2023-02-28 15:11:36,499 - SubAppln - INFO - Message from publisher: humidity:52.571284934569945</t>
  </si>
  <si>
    <t>2023-02-28 15:11:36,500 - SubAppln - INFO - Message from publisher: sound:58</t>
  </si>
  <si>
    <t>2023-02-28 15:11:36,500 - SubAppln - INFO - Message from publisher: temperature:-2</t>
  </si>
  <si>
    <t>2023-02-28 15:11:36,500 - SubAppln - INFO - Message from publisher: humidity:15.793822963017885</t>
  </si>
  <si>
    <t>2023-02-28 15:11:36,500 - SubAppln - INFO - Message from publisher: sound:30</t>
  </si>
  <si>
    <t>2023-02-28 15:11:36,500 - SubAppln - INFO - Message from publisher: temperature:-90</t>
  </si>
  <si>
    <t>2023-02-28 15:11:36,500 - SubAppln - INFO - Message from publisher: humidity:60.65591799060585</t>
  </si>
  <si>
    <t>2023-02-28 15:11:36,500 - SubAppln - INFO - Message from publisher: sound:67</t>
  </si>
  <si>
    <t>2023-02-28 15:11:36,500 - SubAppln - INFO - Message from publisher: temperature:-10</t>
  </si>
  <si>
    <t>2023-02-28 15:11:36,500 - SubAppln - INFO - Message from publisher: humidity:26.472035026701306</t>
  </si>
  <si>
    <t>2023-02-28 15:11:36,500 - SubAppln - INFO - Message from publisher: sound:86</t>
  </si>
  <si>
    <t>2023-02-28 15:11:36,500 - SubAppln - INFO - Message from publisher: temperature:-18</t>
  </si>
  <si>
    <t>2023-02-28 15:11:36,500 - SubAppln - INFO - Message from publisher: humidity:87.33280857352192</t>
  </si>
  <si>
    <t>2023-02-28 15:11:36,500 - SubAppln - INFO - Message from publisher: sound:95</t>
  </si>
  <si>
    <t>2023-02-28 15:11:36,500 - SubAppln - INFO - Message from publisher: temperature:55</t>
  </si>
  <si>
    <t>2023-02-28 15:11:37,486 - SubAppln - INFO - Message from publisher: humidity:23.277099357642562</t>
  </si>
  <si>
    <t>2023-02-28 15:11:37,486 - SubAppln - INFO - Message from publisher: temperature:70</t>
  </si>
  <si>
    <t>2023-02-28 15:11:37,487 - SubAppln - INFO - Message from publisher: sound:39</t>
  </si>
  <si>
    <t>2023-02-28 15:11:37,487 - SubAppln - INFO - Message from publisher: pressure:962</t>
  </si>
  <si>
    <t>2023-02-28 15:11:37,487 - SubAppln - INFO - Message from publisher: location:Europe</t>
  </si>
  <si>
    <t>2023-02-28 15:11:37,487 - SubAppln - INFO - Message from publisher: altitude:26106</t>
  </si>
  <si>
    <t>2023-02-28 15:11:37,487 - SubAppln - INFO - Message from publisher: humidity:21.485220592752466</t>
  </si>
  <si>
    <t>2023-02-28 15:11:37,487 - SubAppln - INFO - Message from publisher: temperature:34</t>
  </si>
  <si>
    <t>2023-02-28 15:11:37,487 - SubAppln - INFO - Message from publisher: sound:40</t>
  </si>
  <si>
    <t>2023-02-28 15:11:37,487 - SubAppln - INFO - Message from publisher: pressure:946</t>
  </si>
  <si>
    <t>2023-02-28 15:11:37,487 - SubAppln - INFO - Message from publisher: location:America</t>
  </si>
  <si>
    <t>2023-02-28 15:11:37,487 - SubAppln - INFO - Message from publisher: altitude:7957</t>
  </si>
  <si>
    <t>2023-02-28 15:11:37,487 - SubAppln - INFO - Message from publisher: humidity:83.21576870359851</t>
  </si>
  <si>
    <t>2023-02-28 15:11:37,487 - SubAppln - INFO - Message from publisher: temperature:-92</t>
  </si>
  <si>
    <t>2023-02-28 15:11:37,487 - SubAppln - INFO - Message from publisher: sound:77</t>
  </si>
  <si>
    <t>2023-02-28 15:11:37,487 - SubAppln - INFO - Message from publisher: pressure:981</t>
  </si>
  <si>
    <t>2023-02-28 15:11:37,487 - SubAppln - INFO - Message from publisher: location:Australia</t>
  </si>
  <si>
    <t>2023-02-28 15:11:37,487 - SubAppln - INFO - Message from publisher: altitude:20385</t>
  </si>
  <si>
    <t>2023-02-28 15:11:37,487 - SubAppln - INFO - Message from publisher: humidity:16.775098175201556</t>
  </si>
  <si>
    <t>2023-02-28 15:11:37,487 - SubAppln - INFO - Message from publisher: temperature:-60</t>
  </si>
  <si>
    <t>2023-02-28 15:11:37,487 - SubAppln - INFO - Message from publisher: sound:59</t>
  </si>
  <si>
    <t>2023-02-28 15:11:37,487 - SubAppln - INFO - Message from publisher: pressure:999</t>
  </si>
  <si>
    <t>2023-02-28 15:11:37,487 - SubAppln - INFO - Message from publisher: location:Africa</t>
  </si>
  <si>
    <t>2023-02-28 15:11:37,487 - SubAppln - INFO - Message from publisher: altitude:17135</t>
  </si>
  <si>
    <t>2023-02-28 15:11:37,487 - SubAppln - INFO - Message from publisher: humidity:79.07284153204394</t>
  </si>
  <si>
    <t>2023-02-28 15:11:37,487 - SubAppln - INFO - Message from publisher: temperature:-19</t>
  </si>
  <si>
    <t>2023-02-28 15:11:37,487 - SubAppln - INFO - Message from publisher: pressure:892</t>
  </si>
  <si>
    <t>2023-02-28 15:11:37,488 - SubAppln - INFO - Message from publisher: altitude:3153</t>
  </si>
  <si>
    <t>2023-02-28 15:11:34,497 - SubAppln - INFO - Subscriber app configured.</t>
  </si>
  <si>
    <t>2023-02-28 15:11:34,497 - SubAppln - INFO - Registering app with discovery service.</t>
  </si>
  <si>
    <t>2023-02-28 15:11:34,499 - SubAppln - INFO - Subscriber app registered.</t>
  </si>
  <si>
    <t>2023-02-28 15:11:34,499 - SubAppln - INFO - Waiting for all ready from discovery service.</t>
  </si>
  <si>
    <t>2023-02-28 15:11:35,500 - SubAppln - INFO - All sub and pub apps registered and ready.</t>
  </si>
  <si>
    <t>2023-02-28 15:11:35,500 - SubAppln - INFO - Locating all publishers for our topics.</t>
  </si>
  <si>
    <t>2023-02-28 15:11:35,501 - SubAppln - INFO - Subscribing to relevant publishers.</t>
  </si>
  <si>
    <t>2023-02-28 15:11:35,501 - SubAppln - INFO - Subscribed to publisher: tcp://10.0.0.2:5588</t>
  </si>
  <si>
    <t>2023-02-28 15:11:36,499 - SubAppln - INFO - Message from publisher: sound:58</t>
  </si>
  <si>
    <t>2023-02-28 15:11:36,499 - SubAppln - INFO - Message from publisher: weather:cloudy</t>
  </si>
  <si>
    <t>2023-02-28 15:11:36,500 - SubAppln - INFO - Message from publisher: weather:icy</t>
  </si>
  <si>
    <t>2023-02-28 15:11:36,500 - SubAppln - INFO - Message from publisher: weather:sunny</t>
  </si>
  <si>
    <t>2023-02-28 15:11:36,500 - SubAppln - INFO - Message from publisher: weather:foggy</t>
  </si>
  <si>
    <t>2023-02-28 15:11:36,501 - SubAppln - INFO - Message from publisher: light:450</t>
  </si>
  <si>
    <t>2023-02-28 15:11:36,501 - SubAppln - INFO - Message from publisher: light:1600</t>
  </si>
  <si>
    <t>2023-02-28 15:11:36,501 - SubAppln - INFO - Message from publisher: light:1100</t>
  </si>
  <si>
    <t>2023-02-28 15:11:37,487 - SubAppln - INFO - Message from publisher: humidity:23.277099357642562</t>
  </si>
  <si>
    <t>2023-02-28 15:11:37,487 - SubAppln - INFO - Message from publisher: temperature:70</t>
  </si>
  <si>
    <t>2023-02-28 15:11:37,487 - SubAppln - INFO - Message from publisher: weather:rainy</t>
  </si>
  <si>
    <t>2023-02-28 15:11:37,488 - SubAppln - INFO - Message from publisher: sound:40</t>
  </si>
  <si>
    <t>2023-02-28 15:11:37,488 - SubAppln - INFO - Message from publisher: pressure:946</t>
  </si>
  <si>
    <t>2023-02-28 15:11:37,488 - SubAppln - INFO - Message from publisher: location:America</t>
  </si>
  <si>
    <t>2023-02-28 15:11:37,488 - SubAppln - INFO - Message from publisher: weather:cloudy</t>
  </si>
  <si>
    <t>2023-02-28 15:11:37,488 - SubAppln - INFO - Message from publisher: altitude:7957</t>
  </si>
  <si>
    <t>2023-02-28 15:11:37,488 - SubAppln - INFO - Message from publisher: humidity:83.21576870359851</t>
  </si>
  <si>
    <t>2023-02-28 15:11:37,488 - SubAppln - INFO - Message from publisher: temperature:-92</t>
  </si>
  <si>
    <t>2023-02-28 15:11:37,488 - SubAppln - INFO - Message from publisher: sound:77</t>
  </si>
  <si>
    <t>2023-02-28 15:11:37,488 - SubAppln - INFO - Message from publisher: pressure:981</t>
  </si>
  <si>
    <t>2023-02-28 15:11:37,488 - SubAppln - INFO - Message from publisher: location:Australia</t>
  </si>
  <si>
    <t>2023-02-28 15:11:37,488 - SubAppln - INFO - Message from publisher: weather:sunny</t>
  </si>
  <si>
    <t>2023-02-28 15:11:37,488 - SubAppln - INFO - Message from publisher: altitude:20385</t>
  </si>
  <si>
    <t>2023-02-28 15:11:37,488 - SubAppln - INFO - Message from publisher: humidity:16.775098175201556</t>
  </si>
  <si>
    <t>2023-02-28 15:11:37,488 - SubAppln - INFO - Message from publisher: temperature:-60</t>
  </si>
  <si>
    <t>2023-02-28 15:11:37,488 - SubAppln - INFO - Message from publisher: sound:59</t>
  </si>
  <si>
    <t>2023-02-28 15:11:37,488 - SubAppln - INFO - Message from publisher: pressure:999</t>
  </si>
  <si>
    <t>2023-02-28 15:11:37,488 - SubAppln - INFO - Message from publisher: location:Africa</t>
  </si>
  <si>
    <t>2023-02-28 15:11:37,488 - SubAppln - INFO - Message from publisher: weather:icy</t>
  </si>
  <si>
    <t>2023-02-28 15:11:37,488 - SubAppln - INFO - Message from publisher: altitude:17135</t>
  </si>
  <si>
    <t>2023-02-28 15:11:37,488 - SubAppln - INFO - Message from publisher: humidity:79.07284153204394</t>
  </si>
  <si>
    <t>2023-02-28 15:11:37,488 - SubAppln - INFO - Message from publisher: temperature:-19</t>
  </si>
  <si>
    <t>2023-02-28 15:11:37,488 - SubAppln - INFO - Message from publisher: pressure:892</t>
  </si>
  <si>
    <t>2023-02-28 15:11:35,491 - SubAppln - INFO - Subscriber app configured.</t>
  </si>
  <si>
    <t>2023-02-28 15:11:35,491 - SubAppln - INFO - Registering app with discovery service.</t>
  </si>
  <si>
    <t>2023-02-28 15:11:35,494 - SubAppln - INFO - Subscriber app registered.</t>
  </si>
  <si>
    <t>2023-02-28 15:11:35,494 - SubAppln - INFO - Waiting for all ready from discovery service.</t>
  </si>
  <si>
    <t>2023-02-28 15:11:35,494 - SubAppln - INFO - All sub and pub apps registered and ready.</t>
  </si>
  <si>
    <t>2023-02-28 15:11:35,494 - SubAppln - INFO - Locating all publishers for our topics.</t>
  </si>
  <si>
    <t>2023-02-28 15:11:35,495 - SubAppln - INFO - Subscribing to relevant publishers.</t>
  </si>
  <si>
    <t>2023-02-28 15:11:35,495 - SubAppln - INFO - Subscribed to publisher: tcp://10.0.0.2:5588</t>
  </si>
  <si>
    <t>2023-02-28 17:47:40,828 - PubAppln - INFO - Publisher app configured.</t>
  </si>
  <si>
    <t>2023-02-28 17:47:40,828 - PubAppln - INFO - Registering app with discovery service.</t>
  </si>
  <si>
    <t>2023-02-28 17:47:40,838 - PubAppln - INFO - Publisher app registered.</t>
  </si>
  <si>
    <t>2023-02-28 17:47:40,838 - PubAppln - INFO - Waiting for all ready from discovery service.</t>
  </si>
  <si>
    <t>2023-02-28 17:47:48,169 - PubAppln - INFO - All sub and pub apps registered and ready.</t>
  </si>
  <si>
    <t>2023-02-28 17:47:50,611 - PubAppln - INFO - Disseminating info on our topics.</t>
  </si>
  <si>
    <t>2023-02-28 17:47:50,611 - PubAppln - INFO - Dissemination finished. Exiting.</t>
  </si>
  <si>
    <t>2023-02-28 17:47:41,820 - PubAppln - INFO - Publisher app configured.</t>
  </si>
  <si>
    <t>2023-02-28 17:47:41,821 - PubAppln - INFO - Registering app with discovery service.</t>
  </si>
  <si>
    <t>2023-02-28 17:47:41,835 - PubAppln - INFO - Publisher app registered.</t>
  </si>
  <si>
    <t>2023-02-28 17:47:41,835 - PubAppln - INFO - Waiting for all ready from discovery service.</t>
  </si>
  <si>
    <t>2023-02-28 17:47:46,068 - PubAppln - INFO - All sub and pub apps registered and ready.</t>
  </si>
  <si>
    <t>2023-02-28 17:47:48,234 - PubAppln - INFO - Disseminating info on our topics.</t>
  </si>
  <si>
    <t>2023-02-28 17:47:48,234 - PubAppln - INFO - Dissemination finished. Exiting.</t>
  </si>
  <si>
    <t>2023-02-28 17:47:42,827 - PubAppln - INFO - Publisher app configured.</t>
  </si>
  <si>
    <t>2023-02-28 17:47:42,827 - PubAppln - INFO - Registering app with discovery service.</t>
  </si>
  <si>
    <t>2023-02-28 17:47:42,861 - PubAppln - INFO - Publisher app registered.</t>
  </si>
  <si>
    <t>2023-02-28 17:47:42,861 - PubAppln - INFO - Waiting for all ready from discovery service.</t>
  </si>
  <si>
    <t>2023-02-28 17:47:48,408 - PubAppln - INFO - All sub and pub apps registered and ready.</t>
  </si>
  <si>
    <t>2023-02-28 17:47:50,707 - PubAppln - INFO - Disseminating info on our topics.</t>
  </si>
  <si>
    <t>2023-02-28 17:47:50,707 - PubAppln - INFO - Dissemination finished. Exiting.</t>
  </si>
  <si>
    <t>2023-02-28 17:47:43,837 - SubAppln - INFO - Subscriber app configured.</t>
  </si>
  <si>
    <t>2023-02-28 17:47:43,837 - SubAppln - INFO - Registering app with discovery service.</t>
  </si>
  <si>
    <t>2023-02-28 17:47:43,849 - SubAppln - INFO - Subscriber app registered.</t>
  </si>
  <si>
    <t>2023-02-28 17:47:43,849 - SubAppln - INFO - Waiting for all ready from discovery service.</t>
  </si>
  <si>
    <t>2023-02-28 17:47:48,269 - SubAppln - INFO - All sub and pub apps registered and ready.</t>
  </si>
  <si>
    <t>2023-02-28 17:47:48,690 - SubAppln - INFO - Locating all publishers for our topics.</t>
  </si>
  <si>
    <t>2023-02-28 17:47:48,691 - SubAppln - INFO - Subscribing to relevant publishers.</t>
  </si>
  <si>
    <t>2023-02-28 17:47:48,691 - SubAppln - INFO - Subscribed to publisher: tcp://10.0.0.5:5588</t>
  </si>
  <si>
    <t>2023-02-28 17:47:50,612 - SubAppln - INFO - Message from publisher: pressure:962</t>
  </si>
  <si>
    <t>2023-02-28 17:47:50,612 - SubAppln - INFO - Message from publisher: pressure:969</t>
  </si>
  <si>
    <t>2023-02-28 17:47:50,612 - SubAppln - INFO - Message from publisher: pressure:882</t>
  </si>
  <si>
    <t>2023-02-28 17:47:50,612 - SubAppln - INFO - Message from publisher: pressure:1032</t>
  </si>
  <si>
    <t>2023-02-28 17:47:50,612 - SubAppln - INFO - Message from publisher: pressure:991</t>
  </si>
  <si>
    <t>2023-02-28 17:47:50,707 - SubAppln - INFO - Message from publisher: weather:sunny</t>
  </si>
  <si>
    <t>2023-02-28 17:47:50,707 - SubAppln - INFO - Message from publisher: pressure:1058</t>
  </si>
  <si>
    <t>2023-02-28 17:47:50,707 - SubAppln - INFO - Message from publisher: sound:41</t>
  </si>
  <si>
    <t>2023-02-28 17:47:50,707 - SubAppln - INFO - Message from publisher: temperature:49</t>
  </si>
  <si>
    <t>2023-02-28 17:47:50,707 - SubAppln - INFO - Message from publisher: weather:icy</t>
  </si>
  <si>
    <t>2023-02-28 17:47:50,707 - SubAppln - INFO - Message from publisher: pressure:893</t>
  </si>
  <si>
    <t>2023-02-28 17:47:50,707 - SubAppln - INFO - Message from publisher: sound:56</t>
  </si>
  <si>
    <t>2023-02-28 17:47:50,708 - SubAppln - INFO - Message from publisher: temperature:-36</t>
  </si>
  <si>
    <t>2023-02-28 17:47:50,708 - SubAppln - INFO - Message from publisher: weather:foggy</t>
  </si>
  <si>
    <t>2023-02-28 17:47:50,708 - SubAppln - INFO - Message from publisher: pressure:997</t>
  </si>
  <si>
    <t>2023-02-28 17:47:50,708 - SubAppln - INFO - Message from publisher: sound:31</t>
  </si>
  <si>
    <t>2023-02-28 17:47:50,708 - SubAppln - INFO - Message from publisher: temperature:70</t>
  </si>
  <si>
    <t>2023-02-28 17:47:50,708 - SubAppln - INFO - Message from publisher: pressure:905</t>
  </si>
  <si>
    <t>2023-02-28 17:47:50,708 - SubAppln - INFO - Message from publisher: sound:68</t>
  </si>
  <si>
    <t>2023-02-28 17:47:50,708 - SubAppln - INFO - Message from publisher: temperature:-6</t>
  </si>
  <si>
    <t>2023-02-28 17:47:50,708 - SubAppln - INFO - Message from publisher: weather:icy</t>
  </si>
  <si>
    <t>2023-02-28 17:47:50,708 - SubAppln - INFO - Message from publisher: pressure:895</t>
  </si>
  <si>
    <t>2023-02-28 17:47:50,708 - SubAppln - INFO - Message from publisher: sound:89</t>
  </si>
  <si>
    <t>2023-02-28 17:47:50,708 - SubAppln - INFO - Message from publisher: temperature:-18</t>
  </si>
  <si>
    <t>2023-02-28 17:47:44,843 - SubAppln - INFO - Subscriber app configured.</t>
  </si>
  <si>
    <t>2023-02-28 17:47:44,843 - SubAppln - INFO - Registering app with discovery service.</t>
  </si>
  <si>
    <t>2023-02-28 17:47:44,864 - SubAppln - INFO - Subscriber app registered.</t>
  </si>
  <si>
    <t>2023-02-28 17:47:44,864 - SubAppln - INFO - Waiting for all ready from discovery service.</t>
  </si>
  <si>
    <t>2023-02-28 17:47:47,258 - SubAppln - INFO - All sub and pub apps registered and ready.</t>
  </si>
  <si>
    <t>2023-02-28 17:47:48,057 - SubAppln - INFO - Locating all publishers for our topics.</t>
  </si>
  <si>
    <t>2023-02-28 17:47:48,057 - SubAppln - INFO - Subscribing to relevant publishers.</t>
  </si>
  <si>
    <t>2023-02-28 17:47:48,058 - SubAppln - INFO - Subscribed to publisher: tcp://10.0.0.5:5588</t>
  </si>
  <si>
    <t>2023-02-28 17:47:50,707 - SubAppln - INFO - Message from publisher: light:1100</t>
  </si>
  <si>
    <t>2023-02-28 17:47:50,708 - SubAppln - INFO - Message from publisher: pressure:893</t>
  </si>
  <si>
    <t>2023-02-28 17:47:50,708 - SubAppln - INFO - Message from publisher: sound:56</t>
  </si>
  <si>
    <t>2023-02-28 17:47:50,708 - SubAppln - INFO - Message from publisher: light:1100</t>
  </si>
  <si>
    <t>2023-02-28 17:47:50,708 - SubAppln - INFO - Message from publisher: light:1600</t>
  </si>
  <si>
    <t>2023-02-28 17:47:50,708 - SubAppln - INFO - Message from publisher: light:450</t>
  </si>
  <si>
    <t>2023-02-28 17:47:50,709 - SubAppln - INFO - Message from publisher: temperature:-6</t>
  </si>
  <si>
    <t>2023-02-28 17:47:50,709 - SubAppln - INFO - Message from publisher: weather:icy</t>
  </si>
  <si>
    <t>2023-02-28 17:47:50,709 - SubAppln - INFO - Message from publisher: pressure:895</t>
  </si>
  <si>
    <t>2023-02-28 17:47:50,709 - SubAppln - INFO - Message from publisher: sound:89</t>
  </si>
  <si>
    <t>2023-02-28 17:47:50,709 - SubAppln - INFO - Message from publisher: light:1600</t>
  </si>
  <si>
    <t>2023-02-28 17:47:50,709 - SubAppln - INFO - Message from publisher: temperature:-18</t>
  </si>
  <si>
    <t>2023-02-28 17:47:45,838 - SubAppln - INFO - Subscriber app configured.</t>
  </si>
  <si>
    <t>2023-02-28 17:47:45,838 - SubAppln - INFO - Registering app with discovery service.</t>
  </si>
  <si>
    <t>2023-02-28 17:47:45,867 - SubAppln - INFO - Subscriber app registered.</t>
  </si>
  <si>
    <t>2023-02-28 17:47:45,867 - SubAppln - INFO - Waiting for all ready from discovery service.</t>
  </si>
  <si>
    <t>2023-02-28 17:47:45,867 - SubAppln - INFO - All sub and pub apps registered and ready.</t>
  </si>
  <si>
    <t>2023-02-28 17:47:46,541 - SubAppln - INFO - Locating all publishers for our topics.</t>
  </si>
  <si>
    <t>2023-02-28 17:47:46,541 - SubAppln - INFO - Subscribing to relevant publishers.</t>
  </si>
  <si>
    <t>2023-02-28 17:47:46,541 - SubAppln - INFO - Subscribed to publisher: tcp://10.0.0.5:5588</t>
  </si>
  <si>
    <t>2023-02-28 17:47:50,612 - SubAppln - INFO - Message from publisher: humidity:38.888908200866965</t>
  </si>
  <si>
    <t>2023-02-28 17:47:50,612 - SubAppln - INFO - Message from publisher: location:Africa</t>
  </si>
  <si>
    <t>2023-02-28 17:47:50,612 - SubAppln - INFO - Message from publisher: humidity:72.0224644258202</t>
  </si>
  <si>
    <t>2023-02-28 17:47:50,612 - SubAppln - INFO - Message from publisher: location:Australia</t>
  </si>
  <si>
    <t>2023-02-28 17:47:50,612 - SubAppln - INFO - Message from publisher: humidity:18.612553425161664</t>
  </si>
  <si>
    <t>2023-02-28 17:47:50,612 - SubAppln - INFO - Message from publisher: location:Europe</t>
  </si>
  <si>
    <t>2023-02-28 17:47:50,612 - SubAppln - INFO - Message from publisher: humidity:54.74989192787352</t>
  </si>
  <si>
    <t>2023-02-28 17:47:50,612 - SubAppln - INFO - Message from publisher: location:Asia</t>
  </si>
  <si>
    <t>2023-02-28 17:47:50,612 - SubAppln - INFO - Message from publisher: humidity:61.676298256605705</t>
  </si>
  <si>
    <t>2023-02-28 17:47:50,707 - SubAppln - INFO - Message from publisher: location:Africa</t>
  </si>
  <si>
    <t>2023-02-28 17:47:50,707 - SubAppln - INFO - Message from publisher: humidity:46.84510933494669</t>
  </si>
  <si>
    <t>2023-02-28 17:47:50,707 - SubAppln - INFO - Message from publisher: airquality:poor</t>
  </si>
  <si>
    <t>2023-02-28 17:47:50,708 - SubAppln - INFO - Message from publisher: location:America</t>
  </si>
  <si>
    <t>2023-02-28 17:47:50,708 - SubAppln - INFO - Message from publisher: humidity:89.99375903065796</t>
  </si>
  <si>
    <t>2023-02-28 17:47:50,708 - SubAppln - INFO - Message from publisher: airquality:good</t>
  </si>
  <si>
    <t>2023-02-28 17:47:50,708 - SubAppln - INFO - Message from publisher: location:Asia</t>
  </si>
  <si>
    <t>2023-02-28 17:47:50,708 - SubAppln - INFO - Message from publisher: humidity:64.69829498238029</t>
  </si>
  <si>
    <t>2023-02-28 17:47:50,708 - SubAppln - INFO - Message from publisher: airquality:poor</t>
  </si>
  <si>
    <t>2023-02-28 17:47:50,708 - SubAppln - INFO - Message from publisher: location:Australia</t>
  </si>
  <si>
    <t>2023-02-28 17:47:50,708 - SubAppln - INFO - Message from publisher: humidity:24.02763385072997</t>
  </si>
  <si>
    <t>2023-02-28 17:47:50,708 - SubAppln - INFO - Message from publisher: airquality:smog</t>
  </si>
  <si>
    <t>2023-02-28 17:47:50,708 - SubAppln - INFO - Message from publisher: location:Africa</t>
  </si>
  <si>
    <t>2023-02-28 17:47:50,708 - SubAppln - INFO - Message from publisher: humidity:95.51838725333958</t>
  </si>
  <si>
    <t>Direct Central Totals (ms):</t>
  </si>
  <si>
    <t>Sub1</t>
  </si>
  <si>
    <t>Sub2</t>
  </si>
  <si>
    <t>Sub3</t>
  </si>
  <si>
    <t>Direct Distributed Totals (ms):</t>
  </si>
  <si>
    <t>Broker Central Totals (ms):</t>
  </si>
  <si>
    <t>Broker Distributed Totals (ms):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</si>
</sst>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Direct</a:t>
            </a:r>
            <a:r>
              <a:rPr lang="en-US" baseline="0"/>
              <a:t> Central Approach Subs Lifespan (ms)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Graphs!$A$2:$C$2</c:f>
              <c:numCache>
                <c:formatCode>General</c:formatCode>
                <c:ptCount val="3"/>
                <c:pt idx="0">
                  <c:v>4020</c:v>
                </c:pt>
                <c:pt idx="1">
                  <c:v>3004</c:v>
                </c:pt>
                <c:pt idx="2">
                  <c:v>1013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4-4863-A47D-F0557A4A5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385007"/>
        <c:axId val="1114214143"/>
      </c:barChart>
      <c:catAx>
        <c:axId val="1360385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214143"/>
        <c:crosses val="autoZero"/>
        <c:auto val="1"/>
        <c:lblAlgn val="ctr"/>
        <c:lblOffset val="100"/>
        <c:noMultiLvlLbl val="0"/>
      </c:catAx>
      <c:valAx>
        <c:axId val="1114214143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8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Direct Distributed Approach Subs Lifespan</a:t>
            </a:r>
            <a:r>
              <a:rPr lang="en-US" baseline="0"/>
              <a:t> (ms)</a:t>
            </a:r>
            <a:endParaRPr lang="en-US"/>
          </a:p>
        </c:rich>
      </c:tx>
      <c:layout>
        <c:manualLayout>
          <c:xMode val="edge"/>
          <c:yMode val="edge"/>
          <c:x val="0.14545514556188807"/>
          <c:y val="2.6622291522477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Graphs!$I$2:$K$2</c:f>
              <c:numCache>
                <c:formatCode>General</c:formatCode>
                <c:ptCount val="3"/>
                <c:pt idx="0">
                  <c:v>6860</c:v>
                </c:pt>
                <c:pt idx="1">
                  <c:v>5862</c:v>
                </c:pt>
                <c:pt idx="2">
                  <c:v>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9-4A4F-BBB7-0ED2445D5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9406815"/>
        <c:axId val="1114213183"/>
      </c:barChart>
      <c:catAx>
        <c:axId val="1369406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213183"/>
        <c:crosses val="autoZero"/>
        <c:auto val="1"/>
        <c:lblAlgn val="ctr"/>
        <c:lblOffset val="100"/>
        <c:noMultiLvlLbl val="0"/>
      </c:catAx>
      <c:valAx>
        <c:axId val="111421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40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Broker Central</a:t>
            </a:r>
            <a:r>
              <a:rPr lang="en-US" baseline="0"/>
              <a:t> Approach Subs Lifespan (ms)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Graphs!$Q$2:$S$2</c:f>
              <c:numCache>
                <c:formatCode>General</c:formatCode>
                <c:ptCount val="3"/>
                <c:pt idx="0">
                  <c:v>3979</c:v>
                </c:pt>
                <c:pt idx="1">
                  <c:v>2991</c:v>
                </c:pt>
                <c:pt idx="2">
                  <c:v>1997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F-479A-B921-1C8209566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579007"/>
        <c:axId val="1114239583"/>
      </c:barChart>
      <c:catAx>
        <c:axId val="1030579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239583"/>
        <c:crosses val="autoZero"/>
        <c:auto val="1"/>
        <c:lblAlgn val="ctr"/>
        <c:lblOffset val="100"/>
        <c:noMultiLvlLbl val="0"/>
      </c:catAx>
      <c:valAx>
        <c:axId val="1114239583"/>
        <c:scaling>
          <c:orientation val="minMax"/>
          <c:max val="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57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Broker Distributed Approach</a:t>
            </a:r>
            <a:r>
              <a:rPr lang="en-US" baseline="0"/>
              <a:t> Subs Lifespan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Graphs!$Y$2:$AA$2</c:f>
              <c:numCache>
                <c:formatCode>General</c:formatCode>
                <c:ptCount val="3"/>
                <c:pt idx="0">
                  <c:v>6871</c:v>
                </c:pt>
                <c:pt idx="1">
                  <c:v>5866</c:v>
                </c:pt>
                <c:pt idx="2">
                  <c:v>4870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1-4E69-BF91-77EC3AF2C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367951"/>
        <c:axId val="1360257327"/>
      </c:barChart>
      <c:catAx>
        <c:axId val="1112367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257327"/>
        <c:crosses val="autoZero"/>
        <c:auto val="1"/>
        <c:lblAlgn val="ctr"/>
        <c:lblOffset val="100"/>
        <c:noMultiLvlLbl val="0"/>
      </c:catAx>
      <c:valAx>
        <c:axId val="136025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6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4761</xdr:rowOff>
    </xdr:from>
    <xdr:to>
      <xdr:col>7</xdr:col>
      <xdr:colOff>19050</xdr:colOff>
      <xdr:row>19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471F6B-7713-DA42-6191-69501A03B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</xdr:colOff>
      <xdr:row>4</xdr:row>
      <xdr:rowOff>4761</xdr:rowOff>
    </xdr:from>
    <xdr:to>
      <xdr:col>15</xdr:col>
      <xdr:colOff>9525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A0B4BA-4051-4747-F949-FAB549B35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4762</xdr:colOff>
      <xdr:row>4</xdr:row>
      <xdr:rowOff>4761</xdr:rowOff>
    </xdr:from>
    <xdr:to>
      <xdr:col>23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4E7C84-12E4-C012-E953-01DA2E60D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4762</xdr:colOff>
      <xdr:row>4</xdr:row>
      <xdr:rowOff>14286</xdr:rowOff>
    </xdr:from>
    <xdr:to>
      <xdr:col>31</xdr:col>
      <xdr:colOff>9525</xdr:colOff>
      <xdr:row>18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FF681E-7683-BB49-359A-12C911630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20C4-0751-4555-B96C-5991BDAA1C49}">
  <dimension ref="A1:AA3"/>
  <sheetViews>
    <sheetView tabSelected="1" workbookViewId="0">
      <selection activeCell="AH13" sqref="AH13"/>
    </sheetView>
  </sheetViews>
  <sheetFormatPr defaultRowHeight="15" x14ac:dyDescent="0.25"/>
  <sheetData>
    <row r="1" spans="1:27" x14ac:dyDescent="0.25">
      <c r="A1" t="s">
        <v>485</v>
      </c>
      <c r="I1" t="s">
        <v>489</v>
      </c>
      <c r="Q1" t="s">
        <v>490</v>
      </c>
      <c r="Y1" t="s">
        <v>491</v>
      </c>
    </row>
    <row r="2" spans="1:27" x14ac:dyDescent="0.25">
      <c r="A2">
        <f>'Direct Central'!B9</f>
        <v>4020</v>
      </c>
      <c r="B2">
        <f>'Direct Central'!D9</f>
        <v>3004</v>
      </c>
      <c r="C2">
        <f>'Direct Central'!F9</f>
        <v>1013</v>
      </c>
      <c r="I2">
        <f>'Direct Distributed'!B9</f>
        <v>6860</v>
      </c>
      <c r="J2">
        <f>'Direct Distributed'!D9</f>
        <v>5862</v>
      </c>
      <c r="K2">
        <f>'Direct Distributed'!F9</f>
        <v>4875</v>
      </c>
      <c r="Q2">
        <f>'Broker Central'!B9</f>
        <v>3979</v>
      </c>
      <c r="R2">
        <f>'Broker Central'!D9</f>
        <v>2991</v>
      </c>
      <c r="S2">
        <f>'Broker Central'!F9</f>
        <v>1997</v>
      </c>
      <c r="Y2">
        <f>'Broker Distributed'!B9</f>
        <v>6871</v>
      </c>
      <c r="Z2">
        <f>'Broker Distributed'!D9</f>
        <v>5866</v>
      </c>
      <c r="AA2">
        <f>'Broker Distributed'!F9</f>
        <v>4870</v>
      </c>
    </row>
    <row r="3" spans="1:27" x14ac:dyDescent="0.25">
      <c r="A3" t="s">
        <v>486</v>
      </c>
      <c r="B3" t="s">
        <v>487</v>
      </c>
      <c r="C3" t="s">
        <v>488</v>
      </c>
      <c r="I3" t="s">
        <v>486</v>
      </c>
      <c r="J3" t="s">
        <v>487</v>
      </c>
      <c r="K3" t="s">
        <v>488</v>
      </c>
      <c r="Q3" t="s">
        <v>486</v>
      </c>
      <c r="R3" t="s">
        <v>487</v>
      </c>
      <c r="S3" t="s">
        <v>488</v>
      </c>
      <c r="Y3" t="s">
        <v>486</v>
      </c>
      <c r="Z3" t="s">
        <v>487</v>
      </c>
      <c r="AA3" t="s">
        <v>488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79"/>
  <sheetViews>
    <sheetView workbookViewId="0">
      <selection activeCell="F9" sqref="F9"/>
    </sheetView>
  </sheetViews>
  <sheetFormatPr defaultRowHeight="15" x14ac:dyDescent="0.25"/>
  <cols>
    <col min="1" max="1" width="90.42578125" bestFit="1" customWidth="1"/>
    <col min="3" max="3" width="80.5703125" bestFit="1" customWidth="1"/>
    <col min="5" max="5" width="90.42578125" bestFit="1" customWidth="1"/>
  </cols>
  <sheetData>
    <row r="2" spans="1:6" x14ac:dyDescent="0.25">
      <c r="A2" t="s">
        <v>0</v>
      </c>
      <c r="C2" t="s">
        <v>7</v>
      </c>
      <c r="E2" t="s">
        <v>14</v>
      </c>
    </row>
    <row r="3" spans="1:6" x14ac:dyDescent="0.25">
      <c r="A3" t="s">
        <v>1</v>
      </c>
      <c r="C3" t="s">
        <v>8</v>
      </c>
      <c r="E3" t="s">
        <v>15</v>
      </c>
    </row>
    <row r="4" spans="1:6" x14ac:dyDescent="0.25">
      <c r="A4" t="s">
        <v>2</v>
      </c>
      <c r="C4" t="s">
        <v>9</v>
      </c>
      <c r="E4" t="s">
        <v>16</v>
      </c>
    </row>
    <row r="5" spans="1:6" x14ac:dyDescent="0.25">
      <c r="A5" t="s">
        <v>3</v>
      </c>
      <c r="C5" t="s">
        <v>10</v>
      </c>
      <c r="E5" t="s">
        <v>17</v>
      </c>
    </row>
    <row r="6" spans="1:6" x14ac:dyDescent="0.25">
      <c r="A6" t="s">
        <v>4</v>
      </c>
      <c r="C6" t="s">
        <v>11</v>
      </c>
      <c r="E6" t="s">
        <v>18</v>
      </c>
    </row>
    <row r="7" spans="1:6" x14ac:dyDescent="0.25">
      <c r="A7" t="s">
        <v>5</v>
      </c>
      <c r="C7" t="s">
        <v>12</v>
      </c>
      <c r="E7" t="s">
        <v>19</v>
      </c>
    </row>
    <row r="8" spans="1:6" x14ac:dyDescent="0.25">
      <c r="A8" t="s">
        <v>6</v>
      </c>
      <c r="C8" t="s">
        <v>13</v>
      </c>
      <c r="E8" t="s">
        <v>20</v>
      </c>
    </row>
    <row r="9" spans="1:6" x14ac:dyDescent="0.25">
      <c r="B9">
        <f>29130-25110</f>
        <v>4020</v>
      </c>
      <c r="D9">
        <f>29130-26126</f>
        <v>3004</v>
      </c>
      <c r="F9">
        <f>28144-27131</f>
        <v>1013</v>
      </c>
    </row>
    <row r="10" spans="1:6" x14ac:dyDescent="0.25">
      <c r="A10" t="s">
        <v>21</v>
      </c>
      <c r="C10" t="s">
        <v>79</v>
      </c>
      <c r="E10" t="s">
        <v>90</v>
      </c>
    </row>
    <row r="11" spans="1:6" x14ac:dyDescent="0.25">
      <c r="A11" t="s">
        <v>22</v>
      </c>
      <c r="C11" t="s">
        <v>80</v>
      </c>
      <c r="E11" t="s">
        <v>91</v>
      </c>
    </row>
    <row r="12" spans="1:6" x14ac:dyDescent="0.25">
      <c r="A12" t="s">
        <v>23</v>
      </c>
      <c r="C12" t="s">
        <v>81</v>
      </c>
      <c r="E12" t="s">
        <v>92</v>
      </c>
    </row>
    <row r="13" spans="1:6" x14ac:dyDescent="0.25">
      <c r="A13" t="s">
        <v>24</v>
      </c>
      <c r="C13" t="s">
        <v>82</v>
      </c>
      <c r="E13" t="s">
        <v>93</v>
      </c>
    </row>
    <row r="14" spans="1:6" x14ac:dyDescent="0.25">
      <c r="A14" t="s">
        <v>25</v>
      </c>
      <c r="C14" t="s">
        <v>83</v>
      </c>
      <c r="E14" t="s">
        <v>94</v>
      </c>
    </row>
    <row r="15" spans="1:6" x14ac:dyDescent="0.25">
      <c r="A15" t="s">
        <v>26</v>
      </c>
      <c r="C15" t="s">
        <v>84</v>
      </c>
      <c r="E15" t="s">
        <v>95</v>
      </c>
    </row>
    <row r="16" spans="1:6" x14ac:dyDescent="0.25">
      <c r="A16" t="s">
        <v>27</v>
      </c>
      <c r="C16" t="s">
        <v>85</v>
      </c>
      <c r="E16" t="s">
        <v>96</v>
      </c>
    </row>
    <row r="17" spans="1:5" x14ac:dyDescent="0.25">
      <c r="A17" t="s">
        <v>28</v>
      </c>
      <c r="C17" t="s">
        <v>86</v>
      </c>
      <c r="E17" t="s">
        <v>97</v>
      </c>
    </row>
    <row r="18" spans="1:5" x14ac:dyDescent="0.25">
      <c r="A18" t="s">
        <v>29</v>
      </c>
      <c r="C18" t="s">
        <v>87</v>
      </c>
      <c r="E18" t="s">
        <v>98</v>
      </c>
    </row>
    <row r="19" spans="1:5" x14ac:dyDescent="0.25">
      <c r="A19" t="s">
        <v>30</v>
      </c>
      <c r="C19" t="s">
        <v>88</v>
      </c>
      <c r="E19" t="s">
        <v>35</v>
      </c>
    </row>
    <row r="20" spans="1:5" x14ac:dyDescent="0.25">
      <c r="A20" t="s">
        <v>31</v>
      </c>
      <c r="C20" t="s">
        <v>31</v>
      </c>
      <c r="E20" t="s">
        <v>39</v>
      </c>
    </row>
    <row r="21" spans="1:5" x14ac:dyDescent="0.25">
      <c r="A21" t="s">
        <v>32</v>
      </c>
      <c r="C21" t="s">
        <v>33</v>
      </c>
      <c r="E21" t="s">
        <v>44</v>
      </c>
    </row>
    <row r="22" spans="1:5" x14ac:dyDescent="0.25">
      <c r="A22" t="s">
        <v>33</v>
      </c>
      <c r="C22" t="s">
        <v>34</v>
      </c>
      <c r="E22" t="s">
        <v>47</v>
      </c>
    </row>
    <row r="23" spans="1:5" x14ac:dyDescent="0.25">
      <c r="A23" t="s">
        <v>34</v>
      </c>
      <c r="C23" t="s">
        <v>31</v>
      </c>
      <c r="E23" t="s">
        <v>50</v>
      </c>
    </row>
    <row r="24" spans="1:5" x14ac:dyDescent="0.25">
      <c r="A24" t="s">
        <v>35</v>
      </c>
      <c r="C24" t="s">
        <v>37</v>
      </c>
      <c r="E24" t="s">
        <v>99</v>
      </c>
    </row>
    <row r="25" spans="1:5" x14ac:dyDescent="0.25">
      <c r="A25" t="s">
        <v>31</v>
      </c>
      <c r="C25" t="s">
        <v>38</v>
      </c>
      <c r="E25" t="s">
        <v>100</v>
      </c>
    </row>
    <row r="26" spans="1:5" x14ac:dyDescent="0.25">
      <c r="A26" t="s">
        <v>36</v>
      </c>
      <c r="C26" t="s">
        <v>40</v>
      </c>
      <c r="E26" t="s">
        <v>101</v>
      </c>
    </row>
    <row r="27" spans="1:5" x14ac:dyDescent="0.25">
      <c r="A27" t="s">
        <v>37</v>
      </c>
      <c r="C27" t="s">
        <v>42</v>
      </c>
      <c r="E27" t="s">
        <v>102</v>
      </c>
    </row>
    <row r="28" spans="1:5" x14ac:dyDescent="0.25">
      <c r="A28" t="s">
        <v>38</v>
      </c>
      <c r="C28" t="s">
        <v>43</v>
      </c>
      <c r="E28" t="s">
        <v>103</v>
      </c>
    </row>
    <row r="29" spans="1:5" x14ac:dyDescent="0.25">
      <c r="A29" t="s">
        <v>39</v>
      </c>
      <c r="C29" t="s">
        <v>31</v>
      </c>
    </row>
    <row r="30" spans="1:5" x14ac:dyDescent="0.25">
      <c r="A30" t="s">
        <v>40</v>
      </c>
      <c r="C30" t="s">
        <v>45</v>
      </c>
    </row>
    <row r="31" spans="1:5" x14ac:dyDescent="0.25">
      <c r="A31" t="s">
        <v>41</v>
      </c>
      <c r="C31" t="s">
        <v>46</v>
      </c>
    </row>
    <row r="32" spans="1:5" x14ac:dyDescent="0.25">
      <c r="A32" t="s">
        <v>42</v>
      </c>
      <c r="C32" t="s">
        <v>48</v>
      </c>
    </row>
    <row r="33" spans="1:3" x14ac:dyDescent="0.25">
      <c r="A33" t="s">
        <v>43</v>
      </c>
      <c r="C33" t="s">
        <v>49</v>
      </c>
    </row>
    <row r="34" spans="1:3" x14ac:dyDescent="0.25">
      <c r="A34" t="s">
        <v>44</v>
      </c>
      <c r="C34" t="s">
        <v>34</v>
      </c>
    </row>
    <row r="35" spans="1:3" x14ac:dyDescent="0.25">
      <c r="A35" t="s">
        <v>31</v>
      </c>
      <c r="C35" t="s">
        <v>89</v>
      </c>
    </row>
    <row r="36" spans="1:3" x14ac:dyDescent="0.25">
      <c r="A36" t="s">
        <v>36</v>
      </c>
      <c r="C36" t="s">
        <v>55</v>
      </c>
    </row>
    <row r="37" spans="1:3" x14ac:dyDescent="0.25">
      <c r="A37" t="s">
        <v>45</v>
      </c>
      <c r="C37" t="s">
        <v>57</v>
      </c>
    </row>
    <row r="38" spans="1:3" x14ac:dyDescent="0.25">
      <c r="A38" t="s">
        <v>46</v>
      </c>
      <c r="C38" t="s">
        <v>59</v>
      </c>
    </row>
    <row r="39" spans="1:3" x14ac:dyDescent="0.25">
      <c r="A39" t="s">
        <v>47</v>
      </c>
      <c r="C39" t="s">
        <v>62</v>
      </c>
    </row>
    <row r="40" spans="1:3" x14ac:dyDescent="0.25">
      <c r="A40" t="s">
        <v>48</v>
      </c>
      <c r="C40" t="s">
        <v>59</v>
      </c>
    </row>
    <row r="41" spans="1:3" x14ac:dyDescent="0.25">
      <c r="A41" t="s">
        <v>41</v>
      </c>
      <c r="C41" t="s">
        <v>65</v>
      </c>
    </row>
    <row r="42" spans="1:3" x14ac:dyDescent="0.25">
      <c r="A42" t="s">
        <v>49</v>
      </c>
      <c r="C42" t="s">
        <v>67</v>
      </c>
    </row>
    <row r="43" spans="1:3" x14ac:dyDescent="0.25">
      <c r="A43" t="s">
        <v>34</v>
      </c>
      <c r="C43" t="s">
        <v>69</v>
      </c>
    </row>
    <row r="44" spans="1:3" x14ac:dyDescent="0.25">
      <c r="A44" t="s">
        <v>50</v>
      </c>
      <c r="C44" t="s">
        <v>55</v>
      </c>
    </row>
    <row r="45" spans="1:3" x14ac:dyDescent="0.25">
      <c r="A45" t="s">
        <v>51</v>
      </c>
      <c r="C45" t="s">
        <v>71</v>
      </c>
    </row>
    <row r="46" spans="1:3" x14ac:dyDescent="0.25">
      <c r="A46" t="s">
        <v>52</v>
      </c>
      <c r="C46" t="s">
        <v>73</v>
      </c>
    </row>
    <row r="47" spans="1:3" x14ac:dyDescent="0.25">
      <c r="A47" t="s">
        <v>53</v>
      </c>
      <c r="C47" t="s">
        <v>75</v>
      </c>
    </row>
    <row r="48" spans="1:3" x14ac:dyDescent="0.25">
      <c r="A48" t="s">
        <v>54</v>
      </c>
      <c r="C48" t="s">
        <v>77</v>
      </c>
    </row>
    <row r="49" spans="1:3" x14ac:dyDescent="0.25">
      <c r="A49" t="s">
        <v>55</v>
      </c>
      <c r="C49" t="s">
        <v>78</v>
      </c>
    </row>
    <row r="50" spans="1:3" x14ac:dyDescent="0.25">
      <c r="A50" t="s">
        <v>56</v>
      </c>
    </row>
    <row r="51" spans="1:3" x14ac:dyDescent="0.25">
      <c r="A51" t="s">
        <v>52</v>
      </c>
    </row>
    <row r="52" spans="1:3" x14ac:dyDescent="0.25">
      <c r="A52" t="s">
        <v>57</v>
      </c>
    </row>
    <row r="53" spans="1:3" x14ac:dyDescent="0.25">
      <c r="A53" t="s">
        <v>58</v>
      </c>
    </row>
    <row r="54" spans="1:3" x14ac:dyDescent="0.25">
      <c r="A54" t="s">
        <v>59</v>
      </c>
    </row>
    <row r="55" spans="1:3" x14ac:dyDescent="0.25">
      <c r="A55" t="s">
        <v>60</v>
      </c>
    </row>
    <row r="56" spans="1:3" x14ac:dyDescent="0.25">
      <c r="A56" t="s">
        <v>61</v>
      </c>
    </row>
    <row r="57" spans="1:3" x14ac:dyDescent="0.25">
      <c r="A57" t="s">
        <v>62</v>
      </c>
    </row>
    <row r="58" spans="1:3" x14ac:dyDescent="0.25">
      <c r="A58" t="s">
        <v>63</v>
      </c>
    </row>
    <row r="59" spans="1:3" x14ac:dyDescent="0.25">
      <c r="A59" t="s">
        <v>59</v>
      </c>
    </row>
    <row r="60" spans="1:3" x14ac:dyDescent="0.25">
      <c r="A60" t="s">
        <v>64</v>
      </c>
    </row>
    <row r="61" spans="1:3" x14ac:dyDescent="0.25">
      <c r="A61" t="s">
        <v>52</v>
      </c>
    </row>
    <row r="62" spans="1:3" x14ac:dyDescent="0.25">
      <c r="A62" t="s">
        <v>65</v>
      </c>
    </row>
    <row r="63" spans="1:3" x14ac:dyDescent="0.25">
      <c r="A63" t="s">
        <v>66</v>
      </c>
    </row>
    <row r="64" spans="1:3" x14ac:dyDescent="0.25">
      <c r="A64" t="s">
        <v>67</v>
      </c>
    </row>
    <row r="65" spans="1:1" x14ac:dyDescent="0.25">
      <c r="A65" t="s">
        <v>68</v>
      </c>
    </row>
    <row r="66" spans="1:1" x14ac:dyDescent="0.25">
      <c r="A66" t="s">
        <v>61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55</v>
      </c>
    </row>
    <row r="70" spans="1:1" x14ac:dyDescent="0.25">
      <c r="A70" t="s">
        <v>71</v>
      </c>
    </row>
    <row r="71" spans="1:1" x14ac:dyDescent="0.25">
      <c r="A71" t="s">
        <v>72</v>
      </c>
    </row>
    <row r="72" spans="1:1" x14ac:dyDescent="0.25">
      <c r="A72" t="s">
        <v>73</v>
      </c>
    </row>
    <row r="73" spans="1:1" x14ac:dyDescent="0.25">
      <c r="A73" t="s">
        <v>74</v>
      </c>
    </row>
    <row r="74" spans="1:1" x14ac:dyDescent="0.25">
      <c r="A74" t="s">
        <v>75</v>
      </c>
    </row>
    <row r="75" spans="1:1" x14ac:dyDescent="0.25">
      <c r="A75" t="s">
        <v>76</v>
      </c>
    </row>
    <row r="76" spans="1:1" x14ac:dyDescent="0.25">
      <c r="A76" t="s">
        <v>77</v>
      </c>
    </row>
    <row r="77" spans="1:1" x14ac:dyDescent="0.25">
      <c r="A77" t="s">
        <v>74</v>
      </c>
    </row>
    <row r="78" spans="1:1" x14ac:dyDescent="0.25">
      <c r="A78" t="s">
        <v>78</v>
      </c>
    </row>
    <row r="79" spans="1:1" x14ac:dyDescent="0.25">
      <c r="A79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B7F3-8307-4AB9-8588-108F9D544AEE}">
  <dimension ref="A2:F114"/>
  <sheetViews>
    <sheetView workbookViewId="0">
      <selection activeCell="F10" sqref="F10"/>
    </sheetView>
  </sheetViews>
  <sheetFormatPr defaultRowHeight="15" x14ac:dyDescent="0.25"/>
  <cols>
    <col min="1" max="1" width="96" bestFit="1" customWidth="1"/>
    <col min="3" max="3" width="96.42578125" bestFit="1" customWidth="1"/>
    <col min="5" max="5" width="94.42578125" bestFit="1" customWidth="1"/>
  </cols>
  <sheetData>
    <row r="2" spans="1:6" x14ac:dyDescent="0.25">
      <c r="A2" t="s">
        <v>104</v>
      </c>
      <c r="C2" t="s">
        <v>111</v>
      </c>
      <c r="E2" t="s">
        <v>118</v>
      </c>
    </row>
    <row r="3" spans="1:6" x14ac:dyDescent="0.25">
      <c r="A3" t="s">
        <v>105</v>
      </c>
      <c r="C3" t="s">
        <v>112</v>
      </c>
      <c r="E3" t="s">
        <v>119</v>
      </c>
    </row>
    <row r="4" spans="1:6" x14ac:dyDescent="0.25">
      <c r="A4" t="s">
        <v>106</v>
      </c>
      <c r="C4" t="s">
        <v>113</v>
      </c>
      <c r="E4" t="s">
        <v>120</v>
      </c>
    </row>
    <row r="5" spans="1:6" x14ac:dyDescent="0.25">
      <c r="A5" t="s">
        <v>107</v>
      </c>
      <c r="C5" t="s">
        <v>114</v>
      </c>
      <c r="E5" t="s">
        <v>121</v>
      </c>
    </row>
    <row r="6" spans="1:6" x14ac:dyDescent="0.25">
      <c r="A6" t="s">
        <v>108</v>
      </c>
      <c r="C6" t="s">
        <v>115</v>
      </c>
      <c r="E6" t="s">
        <v>122</v>
      </c>
    </row>
    <row r="7" spans="1:6" x14ac:dyDescent="0.25">
      <c r="A7" t="s">
        <v>109</v>
      </c>
      <c r="C7" t="s">
        <v>116</v>
      </c>
      <c r="E7" t="s">
        <v>123</v>
      </c>
    </row>
    <row r="8" spans="1:6" x14ac:dyDescent="0.25">
      <c r="A8" t="s">
        <v>110</v>
      </c>
      <c r="C8" t="s">
        <v>117</v>
      </c>
      <c r="E8" t="s">
        <v>124</v>
      </c>
    </row>
    <row r="9" spans="1:6" x14ac:dyDescent="0.25">
      <c r="B9">
        <f>34722-27862</f>
        <v>6860</v>
      </c>
      <c r="D9">
        <f>34722-28860</f>
        <v>5862</v>
      </c>
      <c r="F9">
        <f>34722-29847</f>
        <v>4875</v>
      </c>
    </row>
    <row r="10" spans="1:6" x14ac:dyDescent="0.25">
      <c r="A10" t="s">
        <v>125</v>
      </c>
      <c r="C10" t="s">
        <v>171</v>
      </c>
      <c r="E10" t="s">
        <v>245</v>
      </c>
    </row>
    <row r="11" spans="1:6" x14ac:dyDescent="0.25">
      <c r="A11" t="s">
        <v>126</v>
      </c>
      <c r="C11" t="s">
        <v>172</v>
      </c>
      <c r="E11" t="s">
        <v>246</v>
      </c>
    </row>
    <row r="12" spans="1:6" x14ac:dyDescent="0.25">
      <c r="A12" t="s">
        <v>127</v>
      </c>
      <c r="C12" t="s">
        <v>173</v>
      </c>
      <c r="E12" t="s">
        <v>247</v>
      </c>
    </row>
    <row r="13" spans="1:6" x14ac:dyDescent="0.25">
      <c r="A13" t="s">
        <v>128</v>
      </c>
      <c r="C13" t="s">
        <v>174</v>
      </c>
      <c r="E13" t="s">
        <v>248</v>
      </c>
    </row>
    <row r="14" spans="1:6" x14ac:dyDescent="0.25">
      <c r="A14" t="s">
        <v>129</v>
      </c>
      <c r="C14" t="s">
        <v>175</v>
      </c>
      <c r="E14" t="s">
        <v>249</v>
      </c>
    </row>
    <row r="15" spans="1:6" x14ac:dyDescent="0.25">
      <c r="A15" t="s">
        <v>130</v>
      </c>
      <c r="C15" t="s">
        <v>176</v>
      </c>
      <c r="E15" t="s">
        <v>250</v>
      </c>
    </row>
    <row r="16" spans="1:6" x14ac:dyDescent="0.25">
      <c r="A16" t="s">
        <v>131</v>
      </c>
      <c r="C16" t="s">
        <v>177</v>
      </c>
      <c r="E16" t="s">
        <v>251</v>
      </c>
    </row>
    <row r="17" spans="1:5" x14ac:dyDescent="0.25">
      <c r="A17" t="s">
        <v>132</v>
      </c>
      <c r="C17" t="s">
        <v>178</v>
      </c>
      <c r="E17" t="s">
        <v>252</v>
      </c>
    </row>
    <row r="18" spans="1:5" x14ac:dyDescent="0.25">
      <c r="A18" t="s">
        <v>133</v>
      </c>
      <c r="C18" t="s">
        <v>179</v>
      </c>
      <c r="E18" t="s">
        <v>253</v>
      </c>
    </row>
    <row r="19" spans="1:5" x14ac:dyDescent="0.25">
      <c r="A19" t="s">
        <v>134</v>
      </c>
      <c r="C19" t="s">
        <v>180</v>
      </c>
      <c r="E19" t="s">
        <v>254</v>
      </c>
    </row>
    <row r="20" spans="1:5" x14ac:dyDescent="0.25">
      <c r="A20" t="s">
        <v>135</v>
      </c>
      <c r="C20" t="s">
        <v>135</v>
      </c>
      <c r="E20" t="s">
        <v>135</v>
      </c>
    </row>
    <row r="21" spans="1:5" x14ac:dyDescent="0.25">
      <c r="A21" t="s">
        <v>136</v>
      </c>
      <c r="C21" t="s">
        <v>181</v>
      </c>
      <c r="E21" t="s">
        <v>181</v>
      </c>
    </row>
    <row r="22" spans="1:5" x14ac:dyDescent="0.25">
      <c r="A22" t="s">
        <v>137</v>
      </c>
      <c r="C22" t="s">
        <v>182</v>
      </c>
      <c r="E22" t="s">
        <v>182</v>
      </c>
    </row>
    <row r="23" spans="1:5" x14ac:dyDescent="0.25">
      <c r="A23" t="s">
        <v>138</v>
      </c>
      <c r="C23" t="s">
        <v>183</v>
      </c>
      <c r="E23" t="s">
        <v>184</v>
      </c>
    </row>
    <row r="24" spans="1:5" x14ac:dyDescent="0.25">
      <c r="A24" t="s">
        <v>135</v>
      </c>
      <c r="C24" t="s">
        <v>184</v>
      </c>
      <c r="E24" t="s">
        <v>185</v>
      </c>
    </row>
    <row r="25" spans="1:5" x14ac:dyDescent="0.25">
      <c r="A25" t="s">
        <v>139</v>
      </c>
      <c r="C25" t="s">
        <v>185</v>
      </c>
      <c r="E25" t="s">
        <v>137</v>
      </c>
    </row>
    <row r="26" spans="1:5" x14ac:dyDescent="0.25">
      <c r="A26" t="s">
        <v>140</v>
      </c>
      <c r="C26" t="s">
        <v>136</v>
      </c>
      <c r="E26" t="s">
        <v>138</v>
      </c>
    </row>
    <row r="27" spans="1:5" x14ac:dyDescent="0.25">
      <c r="A27" t="s">
        <v>141</v>
      </c>
      <c r="C27" t="s">
        <v>137</v>
      </c>
      <c r="E27" t="s">
        <v>135</v>
      </c>
    </row>
    <row r="28" spans="1:5" x14ac:dyDescent="0.25">
      <c r="A28" t="s">
        <v>142</v>
      </c>
      <c r="C28" t="s">
        <v>138</v>
      </c>
      <c r="E28" t="s">
        <v>186</v>
      </c>
    </row>
    <row r="29" spans="1:5" x14ac:dyDescent="0.25">
      <c r="A29" t="s">
        <v>143</v>
      </c>
      <c r="C29" t="s">
        <v>135</v>
      </c>
      <c r="E29" t="s">
        <v>187</v>
      </c>
    </row>
    <row r="30" spans="1:5" x14ac:dyDescent="0.25">
      <c r="A30" t="s">
        <v>144</v>
      </c>
      <c r="C30" t="s">
        <v>186</v>
      </c>
      <c r="E30" t="s">
        <v>189</v>
      </c>
    </row>
    <row r="31" spans="1:5" x14ac:dyDescent="0.25">
      <c r="A31" t="s">
        <v>145</v>
      </c>
      <c r="C31" t="s">
        <v>187</v>
      </c>
      <c r="E31" t="s">
        <v>190</v>
      </c>
    </row>
    <row r="32" spans="1:5" x14ac:dyDescent="0.25">
      <c r="A32" t="s">
        <v>142</v>
      </c>
      <c r="C32" t="s">
        <v>188</v>
      </c>
      <c r="E32" t="s">
        <v>140</v>
      </c>
    </row>
    <row r="33" spans="1:5" x14ac:dyDescent="0.25">
      <c r="A33" t="s">
        <v>146</v>
      </c>
      <c r="C33" t="s">
        <v>189</v>
      </c>
      <c r="E33" t="s">
        <v>191</v>
      </c>
    </row>
    <row r="34" spans="1:5" x14ac:dyDescent="0.25">
      <c r="A34" t="s">
        <v>147</v>
      </c>
      <c r="C34" t="s">
        <v>190</v>
      </c>
      <c r="E34" t="s">
        <v>192</v>
      </c>
    </row>
    <row r="35" spans="1:5" x14ac:dyDescent="0.25">
      <c r="A35" t="s">
        <v>138</v>
      </c>
      <c r="C35" t="s">
        <v>139</v>
      </c>
      <c r="E35" t="s">
        <v>193</v>
      </c>
    </row>
    <row r="36" spans="1:5" x14ac:dyDescent="0.25">
      <c r="A36" t="s">
        <v>148</v>
      </c>
      <c r="C36" t="s">
        <v>140</v>
      </c>
      <c r="E36" t="s">
        <v>194</v>
      </c>
    </row>
    <row r="37" spans="1:5" x14ac:dyDescent="0.25">
      <c r="A37" t="s">
        <v>149</v>
      </c>
      <c r="C37" t="s">
        <v>191</v>
      </c>
      <c r="E37" t="s">
        <v>196</v>
      </c>
    </row>
    <row r="38" spans="1:5" x14ac:dyDescent="0.25">
      <c r="A38" t="s">
        <v>150</v>
      </c>
      <c r="C38" t="s">
        <v>192</v>
      </c>
      <c r="E38" t="s">
        <v>197</v>
      </c>
    </row>
    <row r="39" spans="1:5" x14ac:dyDescent="0.25">
      <c r="A39" t="s">
        <v>151</v>
      </c>
      <c r="C39" t="s">
        <v>193</v>
      </c>
      <c r="E39" t="s">
        <v>199</v>
      </c>
    </row>
    <row r="40" spans="1:5" x14ac:dyDescent="0.25">
      <c r="A40" t="s">
        <v>152</v>
      </c>
      <c r="C40" t="s">
        <v>194</v>
      </c>
      <c r="E40" t="s">
        <v>200</v>
      </c>
    </row>
    <row r="41" spans="1:5" x14ac:dyDescent="0.25">
      <c r="A41" t="s">
        <v>153</v>
      </c>
      <c r="C41" t="s">
        <v>195</v>
      </c>
      <c r="E41" t="s">
        <v>192</v>
      </c>
    </row>
    <row r="42" spans="1:5" x14ac:dyDescent="0.25">
      <c r="A42" t="s">
        <v>154</v>
      </c>
      <c r="C42" t="s">
        <v>196</v>
      </c>
      <c r="E42" t="s">
        <v>201</v>
      </c>
    </row>
    <row r="43" spans="1:5" x14ac:dyDescent="0.25">
      <c r="A43" t="s">
        <v>155</v>
      </c>
      <c r="C43" t="s">
        <v>197</v>
      </c>
      <c r="E43" t="s">
        <v>202</v>
      </c>
    </row>
    <row r="44" spans="1:5" x14ac:dyDescent="0.25">
      <c r="A44" t="s">
        <v>156</v>
      </c>
      <c r="C44" t="s">
        <v>198</v>
      </c>
      <c r="E44" t="s">
        <v>204</v>
      </c>
    </row>
    <row r="45" spans="1:5" x14ac:dyDescent="0.25">
      <c r="A45" t="s">
        <v>157</v>
      </c>
      <c r="C45" t="s">
        <v>199</v>
      </c>
      <c r="E45" t="s">
        <v>205</v>
      </c>
    </row>
    <row r="46" spans="1:5" x14ac:dyDescent="0.25">
      <c r="A46" t="s">
        <v>154</v>
      </c>
      <c r="C46" t="s">
        <v>200</v>
      </c>
      <c r="E46" t="s">
        <v>207</v>
      </c>
    </row>
    <row r="47" spans="1:5" x14ac:dyDescent="0.25">
      <c r="A47" t="s">
        <v>158</v>
      </c>
      <c r="C47" t="s">
        <v>192</v>
      </c>
      <c r="E47" t="s">
        <v>208</v>
      </c>
    </row>
    <row r="48" spans="1:5" x14ac:dyDescent="0.25">
      <c r="A48" t="s">
        <v>159</v>
      </c>
      <c r="C48" t="s">
        <v>201</v>
      </c>
      <c r="E48" t="s">
        <v>148</v>
      </c>
    </row>
    <row r="49" spans="1:5" x14ac:dyDescent="0.25">
      <c r="A49" t="s">
        <v>153</v>
      </c>
      <c r="C49" t="s">
        <v>202</v>
      </c>
      <c r="E49" t="s">
        <v>209</v>
      </c>
    </row>
    <row r="50" spans="1:5" x14ac:dyDescent="0.25">
      <c r="A50" t="s">
        <v>160</v>
      </c>
      <c r="C50" t="s">
        <v>203</v>
      </c>
      <c r="E50" t="s">
        <v>210</v>
      </c>
    </row>
    <row r="51" spans="1:5" x14ac:dyDescent="0.25">
      <c r="A51" t="s">
        <v>161</v>
      </c>
      <c r="C51" t="s">
        <v>204</v>
      </c>
      <c r="E51" t="s">
        <v>211</v>
      </c>
    </row>
    <row r="52" spans="1:5" x14ac:dyDescent="0.25">
      <c r="A52" t="s">
        <v>159</v>
      </c>
      <c r="C52" t="s">
        <v>205</v>
      </c>
      <c r="E52" t="s">
        <v>212</v>
      </c>
    </row>
    <row r="53" spans="1:5" x14ac:dyDescent="0.25">
      <c r="A53" t="s">
        <v>162</v>
      </c>
      <c r="C53" t="s">
        <v>206</v>
      </c>
      <c r="E53" t="s">
        <v>150</v>
      </c>
    </row>
    <row r="54" spans="1:5" x14ac:dyDescent="0.25">
      <c r="A54" t="s">
        <v>163</v>
      </c>
      <c r="C54" t="s">
        <v>207</v>
      </c>
      <c r="E54" t="s">
        <v>151</v>
      </c>
    </row>
    <row r="55" spans="1:5" x14ac:dyDescent="0.25">
      <c r="A55" t="s">
        <v>164</v>
      </c>
      <c r="C55" t="s">
        <v>208</v>
      </c>
      <c r="E55" t="s">
        <v>213</v>
      </c>
    </row>
    <row r="56" spans="1:5" x14ac:dyDescent="0.25">
      <c r="A56" t="s">
        <v>159</v>
      </c>
      <c r="C56" t="s">
        <v>148</v>
      </c>
      <c r="E56" t="s">
        <v>214</v>
      </c>
    </row>
    <row r="57" spans="1:5" x14ac:dyDescent="0.25">
      <c r="A57" t="s">
        <v>153</v>
      </c>
      <c r="C57" t="s">
        <v>209</v>
      </c>
      <c r="E57" t="s">
        <v>215</v>
      </c>
    </row>
    <row r="58" spans="1:5" x14ac:dyDescent="0.25">
      <c r="A58" t="s">
        <v>163</v>
      </c>
      <c r="C58" t="s">
        <v>210</v>
      </c>
      <c r="E58" t="s">
        <v>153</v>
      </c>
    </row>
    <row r="59" spans="1:5" x14ac:dyDescent="0.25">
      <c r="A59" t="s">
        <v>165</v>
      </c>
      <c r="C59" t="s">
        <v>203</v>
      </c>
      <c r="E59" t="s">
        <v>154</v>
      </c>
    </row>
    <row r="60" spans="1:5" x14ac:dyDescent="0.25">
      <c r="A60" t="s">
        <v>166</v>
      </c>
      <c r="C60" t="s">
        <v>211</v>
      </c>
      <c r="E60" t="s">
        <v>155</v>
      </c>
    </row>
    <row r="61" spans="1:5" x14ac:dyDescent="0.25">
      <c r="A61" t="s">
        <v>167</v>
      </c>
      <c r="C61" t="s">
        <v>212</v>
      </c>
      <c r="E61" t="s">
        <v>216</v>
      </c>
    </row>
    <row r="62" spans="1:5" x14ac:dyDescent="0.25">
      <c r="A62" t="s">
        <v>168</v>
      </c>
      <c r="C62" t="s">
        <v>149</v>
      </c>
      <c r="E62" t="s">
        <v>218</v>
      </c>
    </row>
    <row r="63" spans="1:5" x14ac:dyDescent="0.25">
      <c r="A63" t="s">
        <v>169</v>
      </c>
      <c r="C63" t="s">
        <v>150</v>
      </c>
      <c r="E63" t="s">
        <v>219</v>
      </c>
    </row>
    <row r="64" spans="1:5" x14ac:dyDescent="0.25">
      <c r="A64" t="s">
        <v>170</v>
      </c>
      <c r="C64" t="s">
        <v>151</v>
      </c>
      <c r="E64" t="s">
        <v>220</v>
      </c>
    </row>
    <row r="65" spans="3:5" x14ac:dyDescent="0.25">
      <c r="C65" t="s">
        <v>152</v>
      </c>
      <c r="E65" t="s">
        <v>157</v>
      </c>
    </row>
    <row r="66" spans="3:5" x14ac:dyDescent="0.25">
      <c r="C66" t="s">
        <v>213</v>
      </c>
      <c r="E66" t="s">
        <v>154</v>
      </c>
    </row>
    <row r="67" spans="3:5" x14ac:dyDescent="0.25">
      <c r="C67" t="s">
        <v>214</v>
      </c>
      <c r="E67" t="s">
        <v>158</v>
      </c>
    </row>
    <row r="68" spans="3:5" x14ac:dyDescent="0.25">
      <c r="C68" t="s">
        <v>215</v>
      </c>
      <c r="E68" t="s">
        <v>221</v>
      </c>
    </row>
    <row r="69" spans="3:5" x14ac:dyDescent="0.25">
      <c r="C69" t="s">
        <v>153</v>
      </c>
      <c r="E69" t="s">
        <v>223</v>
      </c>
    </row>
    <row r="70" spans="3:5" x14ac:dyDescent="0.25">
      <c r="C70" t="s">
        <v>154</v>
      </c>
      <c r="E70" t="s">
        <v>224</v>
      </c>
    </row>
    <row r="71" spans="3:5" x14ac:dyDescent="0.25">
      <c r="C71" t="s">
        <v>155</v>
      </c>
      <c r="E71" t="s">
        <v>255</v>
      </c>
    </row>
    <row r="72" spans="3:5" x14ac:dyDescent="0.25">
      <c r="C72" t="s">
        <v>216</v>
      </c>
      <c r="E72" t="s">
        <v>153</v>
      </c>
    </row>
    <row r="73" spans="3:5" x14ac:dyDescent="0.25">
      <c r="C73" t="s">
        <v>217</v>
      </c>
      <c r="E73" t="s">
        <v>160</v>
      </c>
    </row>
    <row r="74" spans="3:5" x14ac:dyDescent="0.25">
      <c r="C74" t="s">
        <v>156</v>
      </c>
      <c r="E74" t="s">
        <v>161</v>
      </c>
    </row>
    <row r="75" spans="3:5" x14ac:dyDescent="0.25">
      <c r="C75" t="s">
        <v>218</v>
      </c>
      <c r="E75" t="s">
        <v>256</v>
      </c>
    </row>
    <row r="76" spans="3:5" x14ac:dyDescent="0.25">
      <c r="C76" t="s">
        <v>219</v>
      </c>
      <c r="E76" t="s">
        <v>257</v>
      </c>
    </row>
    <row r="77" spans="3:5" x14ac:dyDescent="0.25">
      <c r="C77" t="s">
        <v>220</v>
      </c>
      <c r="E77" t="s">
        <v>258</v>
      </c>
    </row>
    <row r="78" spans="3:5" x14ac:dyDescent="0.25">
      <c r="C78" t="s">
        <v>157</v>
      </c>
      <c r="E78" t="s">
        <v>259</v>
      </c>
    </row>
    <row r="79" spans="3:5" x14ac:dyDescent="0.25">
      <c r="C79" t="s">
        <v>154</v>
      </c>
      <c r="E79" t="s">
        <v>162</v>
      </c>
    </row>
    <row r="80" spans="3:5" x14ac:dyDescent="0.25">
      <c r="C80" t="s">
        <v>158</v>
      </c>
      <c r="E80" t="s">
        <v>163</v>
      </c>
    </row>
    <row r="81" spans="3:5" x14ac:dyDescent="0.25">
      <c r="C81" t="s">
        <v>221</v>
      </c>
      <c r="E81" t="s">
        <v>164</v>
      </c>
    </row>
    <row r="82" spans="3:5" x14ac:dyDescent="0.25">
      <c r="C82" t="s">
        <v>222</v>
      </c>
      <c r="E82" t="s">
        <v>238</v>
      </c>
    </row>
    <row r="83" spans="3:5" x14ac:dyDescent="0.25">
      <c r="C83" t="s">
        <v>159</v>
      </c>
      <c r="E83" t="s">
        <v>240</v>
      </c>
    </row>
    <row r="84" spans="3:5" x14ac:dyDescent="0.25">
      <c r="C84" t="s">
        <v>223</v>
      </c>
      <c r="E84" t="s">
        <v>241</v>
      </c>
    </row>
    <row r="85" spans="3:5" x14ac:dyDescent="0.25">
      <c r="C85" t="s">
        <v>224</v>
      </c>
      <c r="E85" t="s">
        <v>242</v>
      </c>
    </row>
    <row r="86" spans="3:5" x14ac:dyDescent="0.25">
      <c r="C86" t="s">
        <v>225</v>
      </c>
      <c r="E86" t="s">
        <v>226</v>
      </c>
    </row>
    <row r="87" spans="3:5" x14ac:dyDescent="0.25">
      <c r="C87" t="s">
        <v>226</v>
      </c>
      <c r="E87" t="s">
        <v>236</v>
      </c>
    </row>
    <row r="88" spans="3:5" x14ac:dyDescent="0.25">
      <c r="C88" t="s">
        <v>227</v>
      </c>
      <c r="E88" t="s">
        <v>243</v>
      </c>
    </row>
    <row r="89" spans="3:5" x14ac:dyDescent="0.25">
      <c r="C89" t="s">
        <v>228</v>
      </c>
      <c r="E89" t="s">
        <v>244</v>
      </c>
    </row>
    <row r="90" spans="3:5" x14ac:dyDescent="0.25">
      <c r="C90" t="s">
        <v>229</v>
      </c>
      <c r="E90" t="s">
        <v>166</v>
      </c>
    </row>
    <row r="91" spans="3:5" x14ac:dyDescent="0.25">
      <c r="C91" t="s">
        <v>230</v>
      </c>
      <c r="E91" t="s">
        <v>167</v>
      </c>
    </row>
    <row r="92" spans="3:5" x14ac:dyDescent="0.25">
      <c r="C92" t="s">
        <v>231</v>
      </c>
      <c r="E92" t="s">
        <v>168</v>
      </c>
    </row>
    <row r="93" spans="3:5" x14ac:dyDescent="0.25">
      <c r="C93" t="s">
        <v>232</v>
      </c>
      <c r="E93" t="s">
        <v>169</v>
      </c>
    </row>
    <row r="94" spans="3:5" x14ac:dyDescent="0.25">
      <c r="C94" t="s">
        <v>233</v>
      </c>
      <c r="E94" t="s">
        <v>170</v>
      </c>
    </row>
    <row r="95" spans="3:5" x14ac:dyDescent="0.25">
      <c r="C95" t="s">
        <v>234</v>
      </c>
    </row>
    <row r="96" spans="3:5" x14ac:dyDescent="0.25">
      <c r="C96" t="s">
        <v>235</v>
      </c>
    </row>
    <row r="97" spans="3:3" x14ac:dyDescent="0.25">
      <c r="C97" t="s">
        <v>236</v>
      </c>
    </row>
    <row r="98" spans="3:3" x14ac:dyDescent="0.25">
      <c r="C98" t="s">
        <v>237</v>
      </c>
    </row>
    <row r="99" spans="3:3" x14ac:dyDescent="0.25">
      <c r="C99" t="s">
        <v>238</v>
      </c>
    </row>
    <row r="100" spans="3:3" x14ac:dyDescent="0.25">
      <c r="C100" t="s">
        <v>239</v>
      </c>
    </row>
    <row r="101" spans="3:3" x14ac:dyDescent="0.25">
      <c r="C101" t="s">
        <v>231</v>
      </c>
    </row>
    <row r="102" spans="3:3" x14ac:dyDescent="0.25">
      <c r="C102" t="s">
        <v>240</v>
      </c>
    </row>
    <row r="103" spans="3:3" x14ac:dyDescent="0.25">
      <c r="C103" t="s">
        <v>241</v>
      </c>
    </row>
    <row r="104" spans="3:3" x14ac:dyDescent="0.25">
      <c r="C104" t="s">
        <v>242</v>
      </c>
    </row>
    <row r="105" spans="3:3" x14ac:dyDescent="0.25">
      <c r="C105" t="s">
        <v>226</v>
      </c>
    </row>
    <row r="106" spans="3:3" x14ac:dyDescent="0.25">
      <c r="C106" t="s">
        <v>236</v>
      </c>
    </row>
    <row r="107" spans="3:3" x14ac:dyDescent="0.25">
      <c r="C107" t="s">
        <v>243</v>
      </c>
    </row>
    <row r="108" spans="3:3" x14ac:dyDescent="0.25">
      <c r="C108" t="s">
        <v>244</v>
      </c>
    </row>
    <row r="109" spans="3:3" x14ac:dyDescent="0.25">
      <c r="C109" t="s">
        <v>230</v>
      </c>
    </row>
    <row r="110" spans="3:3" x14ac:dyDescent="0.25">
      <c r="C110" t="s">
        <v>166</v>
      </c>
    </row>
    <row r="111" spans="3:3" x14ac:dyDescent="0.25">
      <c r="C111" t="s">
        <v>167</v>
      </c>
    </row>
    <row r="112" spans="3:3" x14ac:dyDescent="0.25">
      <c r="C112" t="s">
        <v>168</v>
      </c>
    </row>
    <row r="113" spans="3:3" x14ac:dyDescent="0.25">
      <c r="C113" t="s">
        <v>169</v>
      </c>
    </row>
    <row r="114" spans="3:3" x14ac:dyDescent="0.25">
      <c r="C114" t="s">
        <v>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36F9-4CCF-4057-A905-950A5ECF6100}">
  <dimension ref="A2:F77"/>
  <sheetViews>
    <sheetView workbookViewId="0">
      <selection activeCell="F10" sqref="F10"/>
    </sheetView>
  </sheetViews>
  <sheetFormatPr defaultRowHeight="15" x14ac:dyDescent="0.25"/>
  <cols>
    <col min="1" max="1" width="90.42578125" bestFit="1" customWidth="1"/>
    <col min="3" max="3" width="90.42578125" bestFit="1" customWidth="1"/>
    <col min="5" max="5" width="80.5703125" bestFit="1" customWidth="1"/>
  </cols>
  <sheetData>
    <row r="2" spans="1:6" x14ac:dyDescent="0.25">
      <c r="A2" t="s">
        <v>260</v>
      </c>
      <c r="C2" t="s">
        <v>267</v>
      </c>
      <c r="E2" t="s">
        <v>274</v>
      </c>
    </row>
    <row r="3" spans="1:6" x14ac:dyDescent="0.25">
      <c r="A3" t="s">
        <v>261</v>
      </c>
      <c r="C3" t="s">
        <v>268</v>
      </c>
      <c r="E3" t="s">
        <v>275</v>
      </c>
    </row>
    <row r="4" spans="1:6" x14ac:dyDescent="0.25">
      <c r="A4" t="s">
        <v>262</v>
      </c>
      <c r="C4" t="s">
        <v>269</v>
      </c>
      <c r="E4" t="s">
        <v>276</v>
      </c>
    </row>
    <row r="5" spans="1:6" x14ac:dyDescent="0.25">
      <c r="A5" t="s">
        <v>263</v>
      </c>
      <c r="C5" t="s">
        <v>270</v>
      </c>
      <c r="E5" t="s">
        <v>277</v>
      </c>
    </row>
    <row r="6" spans="1:6" x14ac:dyDescent="0.25">
      <c r="A6" t="s">
        <v>264</v>
      </c>
      <c r="C6" t="s">
        <v>271</v>
      </c>
      <c r="E6" t="s">
        <v>278</v>
      </c>
    </row>
    <row r="7" spans="1:6" x14ac:dyDescent="0.25">
      <c r="A7" t="s">
        <v>265</v>
      </c>
      <c r="C7" t="s">
        <v>272</v>
      </c>
      <c r="E7" t="s">
        <v>279</v>
      </c>
    </row>
    <row r="8" spans="1:6" x14ac:dyDescent="0.25">
      <c r="A8" t="s">
        <v>266</v>
      </c>
      <c r="C8" t="s">
        <v>273</v>
      </c>
      <c r="E8" t="s">
        <v>280</v>
      </c>
    </row>
    <row r="9" spans="1:6" x14ac:dyDescent="0.25">
      <c r="B9">
        <f>37488-33509</f>
        <v>3979</v>
      </c>
      <c r="D9">
        <f>37488-34497</f>
        <v>2991</v>
      </c>
      <c r="F9">
        <f>37488-35491</f>
        <v>1997</v>
      </c>
    </row>
    <row r="10" spans="1:6" x14ac:dyDescent="0.25">
      <c r="A10" t="s">
        <v>281</v>
      </c>
      <c r="C10" t="s">
        <v>332</v>
      </c>
      <c r="E10" t="s">
        <v>373</v>
      </c>
    </row>
    <row r="11" spans="1:6" x14ac:dyDescent="0.25">
      <c r="A11" t="s">
        <v>282</v>
      </c>
      <c r="C11" t="s">
        <v>333</v>
      </c>
      <c r="E11" t="s">
        <v>374</v>
      </c>
    </row>
    <row r="12" spans="1:6" x14ac:dyDescent="0.25">
      <c r="A12" t="s">
        <v>283</v>
      </c>
      <c r="C12" t="s">
        <v>334</v>
      </c>
      <c r="E12" t="s">
        <v>375</v>
      </c>
    </row>
    <row r="13" spans="1:6" x14ac:dyDescent="0.25">
      <c r="A13" t="s">
        <v>284</v>
      </c>
      <c r="C13" t="s">
        <v>335</v>
      </c>
      <c r="E13" t="s">
        <v>376</v>
      </c>
    </row>
    <row r="14" spans="1:6" x14ac:dyDescent="0.25">
      <c r="A14" t="s">
        <v>285</v>
      </c>
      <c r="C14" t="s">
        <v>336</v>
      </c>
      <c r="E14" t="s">
        <v>377</v>
      </c>
    </row>
    <row r="15" spans="1:6" x14ac:dyDescent="0.25">
      <c r="A15" t="s">
        <v>286</v>
      </c>
      <c r="C15" t="s">
        <v>337</v>
      </c>
      <c r="E15" t="s">
        <v>378</v>
      </c>
    </row>
    <row r="16" spans="1:6" x14ac:dyDescent="0.25">
      <c r="A16" t="s">
        <v>287</v>
      </c>
      <c r="C16" t="s">
        <v>338</v>
      </c>
      <c r="E16" t="s">
        <v>379</v>
      </c>
    </row>
    <row r="17" spans="1:5" x14ac:dyDescent="0.25">
      <c r="A17" t="s">
        <v>288</v>
      </c>
      <c r="C17" t="s">
        <v>339</v>
      </c>
      <c r="E17" t="s">
        <v>380</v>
      </c>
    </row>
    <row r="18" spans="1:5" x14ac:dyDescent="0.25">
      <c r="A18" t="s">
        <v>289</v>
      </c>
      <c r="C18" t="s">
        <v>289</v>
      </c>
      <c r="E18" t="s">
        <v>307</v>
      </c>
    </row>
    <row r="19" spans="1:5" x14ac:dyDescent="0.25">
      <c r="A19" t="s">
        <v>290</v>
      </c>
      <c r="C19" t="s">
        <v>340</v>
      </c>
      <c r="E19" t="s">
        <v>313</v>
      </c>
    </row>
    <row r="20" spans="1:5" x14ac:dyDescent="0.25">
      <c r="A20" t="s">
        <v>291</v>
      </c>
      <c r="C20" t="s">
        <v>341</v>
      </c>
      <c r="E20" t="s">
        <v>319</v>
      </c>
    </row>
    <row r="21" spans="1:5" x14ac:dyDescent="0.25">
      <c r="A21" t="s">
        <v>292</v>
      </c>
      <c r="C21" t="s">
        <v>291</v>
      </c>
      <c r="E21" t="s">
        <v>325</v>
      </c>
    </row>
    <row r="22" spans="1:5" x14ac:dyDescent="0.25">
      <c r="A22" t="s">
        <v>293</v>
      </c>
      <c r="C22" t="s">
        <v>292</v>
      </c>
      <c r="E22" t="s">
        <v>372</v>
      </c>
    </row>
    <row r="23" spans="1:5" x14ac:dyDescent="0.25">
      <c r="A23" t="s">
        <v>294</v>
      </c>
      <c r="C23" t="s">
        <v>293</v>
      </c>
    </row>
    <row r="24" spans="1:5" x14ac:dyDescent="0.25">
      <c r="A24" t="s">
        <v>295</v>
      </c>
      <c r="C24" t="s">
        <v>342</v>
      </c>
    </row>
    <row r="25" spans="1:5" x14ac:dyDescent="0.25">
      <c r="A25" t="s">
        <v>296</v>
      </c>
      <c r="C25" t="s">
        <v>294</v>
      </c>
    </row>
    <row r="26" spans="1:5" x14ac:dyDescent="0.25">
      <c r="A26" t="s">
        <v>297</v>
      </c>
      <c r="C26" t="s">
        <v>295</v>
      </c>
    </row>
    <row r="27" spans="1:5" x14ac:dyDescent="0.25">
      <c r="A27" t="s">
        <v>298</v>
      </c>
      <c r="C27" t="s">
        <v>296</v>
      </c>
    </row>
    <row r="28" spans="1:5" x14ac:dyDescent="0.25">
      <c r="A28" t="s">
        <v>299</v>
      </c>
      <c r="C28" t="s">
        <v>343</v>
      </c>
    </row>
    <row r="29" spans="1:5" x14ac:dyDescent="0.25">
      <c r="A29" t="s">
        <v>300</v>
      </c>
      <c r="C29" t="s">
        <v>297</v>
      </c>
    </row>
    <row r="30" spans="1:5" x14ac:dyDescent="0.25">
      <c r="A30" t="s">
        <v>301</v>
      </c>
      <c r="C30" t="s">
        <v>298</v>
      </c>
    </row>
    <row r="31" spans="1:5" x14ac:dyDescent="0.25">
      <c r="A31" t="s">
        <v>302</v>
      </c>
      <c r="C31" t="s">
        <v>299</v>
      </c>
    </row>
    <row r="32" spans="1:5" x14ac:dyDescent="0.25">
      <c r="A32" t="s">
        <v>303</v>
      </c>
      <c r="C32" t="s">
        <v>344</v>
      </c>
    </row>
    <row r="33" spans="1:3" x14ac:dyDescent="0.25">
      <c r="A33" t="s">
        <v>304</v>
      </c>
      <c r="C33" t="s">
        <v>300</v>
      </c>
    </row>
    <row r="34" spans="1:3" x14ac:dyDescent="0.25">
      <c r="A34" t="s">
        <v>305</v>
      </c>
      <c r="C34" t="s">
        <v>301</v>
      </c>
    </row>
    <row r="35" spans="1:3" x14ac:dyDescent="0.25">
      <c r="A35" t="s">
        <v>306</v>
      </c>
      <c r="C35" t="s">
        <v>302</v>
      </c>
    </row>
    <row r="36" spans="1:3" x14ac:dyDescent="0.25">
      <c r="A36" t="s">
        <v>307</v>
      </c>
      <c r="C36" t="s">
        <v>343</v>
      </c>
    </row>
    <row r="37" spans="1:3" x14ac:dyDescent="0.25">
      <c r="A37" t="s">
        <v>308</v>
      </c>
      <c r="C37" t="s">
        <v>303</v>
      </c>
    </row>
    <row r="38" spans="1:3" x14ac:dyDescent="0.25">
      <c r="A38" t="s">
        <v>309</v>
      </c>
      <c r="C38" t="s">
        <v>345</v>
      </c>
    </row>
    <row r="39" spans="1:3" x14ac:dyDescent="0.25">
      <c r="A39" t="s">
        <v>310</v>
      </c>
      <c r="C39" t="s">
        <v>346</v>
      </c>
    </row>
    <row r="40" spans="1:3" x14ac:dyDescent="0.25">
      <c r="A40" t="s">
        <v>311</v>
      </c>
      <c r="C40" t="s">
        <v>347</v>
      </c>
    </row>
    <row r="41" spans="1:3" x14ac:dyDescent="0.25">
      <c r="A41" t="s">
        <v>312</v>
      </c>
      <c r="C41" t="s">
        <v>347</v>
      </c>
    </row>
    <row r="42" spans="1:3" x14ac:dyDescent="0.25">
      <c r="A42" t="s">
        <v>313</v>
      </c>
      <c r="C42" t="s">
        <v>345</v>
      </c>
    </row>
    <row r="43" spans="1:3" x14ac:dyDescent="0.25">
      <c r="A43" t="s">
        <v>314</v>
      </c>
      <c r="C43" t="s">
        <v>348</v>
      </c>
    </row>
    <row r="44" spans="1:3" x14ac:dyDescent="0.25">
      <c r="A44" t="s">
        <v>315</v>
      </c>
      <c r="C44" t="s">
        <v>349</v>
      </c>
    </row>
    <row r="45" spans="1:3" x14ac:dyDescent="0.25">
      <c r="A45" t="s">
        <v>316</v>
      </c>
      <c r="C45" t="s">
        <v>306</v>
      </c>
    </row>
    <row r="46" spans="1:3" x14ac:dyDescent="0.25">
      <c r="A46" t="s">
        <v>317</v>
      </c>
      <c r="C46" t="s">
        <v>307</v>
      </c>
    </row>
    <row r="47" spans="1:3" x14ac:dyDescent="0.25">
      <c r="A47" t="s">
        <v>318</v>
      </c>
      <c r="C47" t="s">
        <v>308</v>
      </c>
    </row>
    <row r="48" spans="1:3" x14ac:dyDescent="0.25">
      <c r="A48" t="s">
        <v>319</v>
      </c>
      <c r="C48" t="s">
        <v>350</v>
      </c>
    </row>
    <row r="49" spans="1:3" x14ac:dyDescent="0.25">
      <c r="A49" t="s">
        <v>320</v>
      </c>
      <c r="C49" t="s">
        <v>309</v>
      </c>
    </row>
    <row r="50" spans="1:3" x14ac:dyDescent="0.25">
      <c r="A50" t="s">
        <v>321</v>
      </c>
      <c r="C50" t="s">
        <v>310</v>
      </c>
    </row>
    <row r="51" spans="1:3" x14ac:dyDescent="0.25">
      <c r="A51" t="s">
        <v>322</v>
      </c>
      <c r="C51" t="s">
        <v>311</v>
      </c>
    </row>
    <row r="52" spans="1:3" x14ac:dyDescent="0.25">
      <c r="A52" t="s">
        <v>323</v>
      </c>
      <c r="C52" t="s">
        <v>351</v>
      </c>
    </row>
    <row r="53" spans="1:3" x14ac:dyDescent="0.25">
      <c r="A53" t="s">
        <v>324</v>
      </c>
      <c r="C53" t="s">
        <v>352</v>
      </c>
    </row>
    <row r="54" spans="1:3" x14ac:dyDescent="0.25">
      <c r="A54" t="s">
        <v>325</v>
      </c>
      <c r="C54" t="s">
        <v>353</v>
      </c>
    </row>
    <row r="55" spans="1:3" x14ac:dyDescent="0.25">
      <c r="A55" t="s">
        <v>326</v>
      </c>
      <c r="C55" t="s">
        <v>354</v>
      </c>
    </row>
    <row r="56" spans="1:3" x14ac:dyDescent="0.25">
      <c r="A56" t="s">
        <v>327</v>
      </c>
      <c r="C56" t="s">
        <v>355</v>
      </c>
    </row>
    <row r="57" spans="1:3" x14ac:dyDescent="0.25">
      <c r="A57" t="s">
        <v>328</v>
      </c>
      <c r="C57" t="s">
        <v>356</v>
      </c>
    </row>
    <row r="58" spans="1:3" x14ac:dyDescent="0.25">
      <c r="A58" t="s">
        <v>329</v>
      </c>
      <c r="C58" t="s">
        <v>357</v>
      </c>
    </row>
    <row r="59" spans="1:3" x14ac:dyDescent="0.25">
      <c r="A59" t="s">
        <v>324</v>
      </c>
      <c r="C59" t="s">
        <v>358</v>
      </c>
    </row>
    <row r="60" spans="1:3" x14ac:dyDescent="0.25">
      <c r="A60" t="s">
        <v>330</v>
      </c>
      <c r="C60" t="s">
        <v>359</v>
      </c>
    </row>
    <row r="61" spans="1:3" x14ac:dyDescent="0.25">
      <c r="A61" t="s">
        <v>320</v>
      </c>
      <c r="C61" t="s">
        <v>360</v>
      </c>
    </row>
    <row r="62" spans="1:3" x14ac:dyDescent="0.25">
      <c r="A62" t="s">
        <v>331</v>
      </c>
      <c r="C62" t="s">
        <v>361</v>
      </c>
    </row>
    <row r="63" spans="1:3" x14ac:dyDescent="0.25">
      <c r="C63" t="s">
        <v>362</v>
      </c>
    </row>
    <row r="64" spans="1:3" x14ac:dyDescent="0.25">
      <c r="C64" t="s">
        <v>363</v>
      </c>
    </row>
    <row r="65" spans="3:3" x14ac:dyDescent="0.25">
      <c r="C65" t="s">
        <v>364</v>
      </c>
    </row>
    <row r="66" spans="3:3" x14ac:dyDescent="0.25">
      <c r="C66" t="s">
        <v>365</v>
      </c>
    </row>
    <row r="67" spans="3:3" x14ac:dyDescent="0.25">
      <c r="C67" t="s">
        <v>366</v>
      </c>
    </row>
    <row r="68" spans="3:3" x14ac:dyDescent="0.25">
      <c r="C68" t="s">
        <v>367</v>
      </c>
    </row>
    <row r="69" spans="3:3" x14ac:dyDescent="0.25">
      <c r="C69" t="s">
        <v>368</v>
      </c>
    </row>
    <row r="70" spans="3:3" x14ac:dyDescent="0.25">
      <c r="C70" t="s">
        <v>369</v>
      </c>
    </row>
    <row r="71" spans="3:3" x14ac:dyDescent="0.25">
      <c r="C71" t="s">
        <v>370</v>
      </c>
    </row>
    <row r="72" spans="3:3" x14ac:dyDescent="0.25">
      <c r="C72" t="s">
        <v>371</v>
      </c>
    </row>
    <row r="73" spans="3:3" x14ac:dyDescent="0.25">
      <c r="C73" t="s">
        <v>365</v>
      </c>
    </row>
    <row r="74" spans="3:3" x14ac:dyDescent="0.25">
      <c r="C74" t="s">
        <v>372</v>
      </c>
    </row>
    <row r="75" spans="3:3" x14ac:dyDescent="0.25">
      <c r="C75" t="s">
        <v>360</v>
      </c>
    </row>
    <row r="76" spans="3:3" x14ac:dyDescent="0.25">
      <c r="C76" t="s">
        <v>361</v>
      </c>
    </row>
    <row r="77" spans="3:3" x14ac:dyDescent="0.25">
      <c r="C77" t="s">
        <v>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538A-ADA4-4639-A7E6-AB33E57BA1F0}">
  <dimension ref="A2:F72"/>
  <sheetViews>
    <sheetView workbookViewId="0">
      <selection activeCell="F10" sqref="F10"/>
    </sheetView>
  </sheetViews>
  <sheetFormatPr defaultRowHeight="15" x14ac:dyDescent="0.25"/>
  <cols>
    <col min="1" max="1" width="80.5703125" bestFit="1" customWidth="1"/>
    <col min="3" max="3" width="80.5703125" bestFit="1" customWidth="1"/>
    <col min="5" max="5" width="80.5703125" bestFit="1" customWidth="1"/>
  </cols>
  <sheetData>
    <row r="2" spans="1:6" x14ac:dyDescent="0.25">
      <c r="A2" t="s">
        <v>381</v>
      </c>
      <c r="C2" t="s">
        <v>388</v>
      </c>
      <c r="E2" t="s">
        <v>395</v>
      </c>
    </row>
    <row r="3" spans="1:6" x14ac:dyDescent="0.25">
      <c r="A3" t="s">
        <v>382</v>
      </c>
      <c r="C3" t="s">
        <v>389</v>
      </c>
      <c r="E3" t="s">
        <v>396</v>
      </c>
    </row>
    <row r="4" spans="1:6" x14ac:dyDescent="0.25">
      <c r="A4" t="s">
        <v>383</v>
      </c>
      <c r="C4" t="s">
        <v>390</v>
      </c>
      <c r="E4" t="s">
        <v>397</v>
      </c>
    </row>
    <row r="5" spans="1:6" x14ac:dyDescent="0.25">
      <c r="A5" t="s">
        <v>384</v>
      </c>
      <c r="C5" t="s">
        <v>391</v>
      </c>
      <c r="E5" t="s">
        <v>398</v>
      </c>
    </row>
    <row r="6" spans="1:6" x14ac:dyDescent="0.25">
      <c r="A6" t="s">
        <v>385</v>
      </c>
      <c r="C6" t="s">
        <v>392</v>
      </c>
      <c r="E6" t="s">
        <v>399</v>
      </c>
    </row>
    <row r="7" spans="1:6" x14ac:dyDescent="0.25">
      <c r="A7" t="s">
        <v>386</v>
      </c>
      <c r="C7" t="s">
        <v>393</v>
      </c>
      <c r="E7" t="s">
        <v>400</v>
      </c>
    </row>
    <row r="8" spans="1:6" x14ac:dyDescent="0.25">
      <c r="A8" t="s">
        <v>387</v>
      </c>
      <c r="C8" t="s">
        <v>394</v>
      </c>
      <c r="E8" t="s">
        <v>401</v>
      </c>
    </row>
    <row r="9" spans="1:6" x14ac:dyDescent="0.25">
      <c r="B9">
        <f>50708-43837</f>
        <v>6871</v>
      </c>
      <c r="D9">
        <f>50709-44843</f>
        <v>5866</v>
      </c>
      <c r="F9">
        <f>50708-45838</f>
        <v>4870</v>
      </c>
    </row>
    <row r="10" spans="1:6" x14ac:dyDescent="0.25">
      <c r="A10" t="s">
        <v>402</v>
      </c>
      <c r="C10" t="s">
        <v>434</v>
      </c>
      <c r="E10" t="s">
        <v>454</v>
      </c>
    </row>
    <row r="11" spans="1:6" x14ac:dyDescent="0.25">
      <c r="A11" t="s">
        <v>403</v>
      </c>
      <c r="C11" t="s">
        <v>435</v>
      </c>
      <c r="E11" t="s">
        <v>455</v>
      </c>
    </row>
    <row r="12" spans="1:6" x14ac:dyDescent="0.25">
      <c r="A12" t="s">
        <v>404</v>
      </c>
      <c r="C12" t="s">
        <v>436</v>
      </c>
      <c r="E12" t="s">
        <v>456</v>
      </c>
    </row>
    <row r="13" spans="1:6" x14ac:dyDescent="0.25">
      <c r="A13" t="s">
        <v>405</v>
      </c>
      <c r="C13" t="s">
        <v>437</v>
      </c>
      <c r="E13" t="s">
        <v>457</v>
      </c>
    </row>
    <row r="14" spans="1:6" x14ac:dyDescent="0.25">
      <c r="A14" t="s">
        <v>406</v>
      </c>
      <c r="C14" t="s">
        <v>438</v>
      </c>
      <c r="E14" t="s">
        <v>458</v>
      </c>
    </row>
    <row r="15" spans="1:6" x14ac:dyDescent="0.25">
      <c r="A15" t="s">
        <v>407</v>
      </c>
      <c r="C15" t="s">
        <v>439</v>
      </c>
      <c r="E15" t="s">
        <v>459</v>
      </c>
    </row>
    <row r="16" spans="1:6" x14ac:dyDescent="0.25">
      <c r="A16" t="s">
        <v>408</v>
      </c>
      <c r="C16" t="s">
        <v>440</v>
      </c>
      <c r="E16" t="s">
        <v>460</v>
      </c>
    </row>
    <row r="17" spans="1:5" x14ac:dyDescent="0.25">
      <c r="A17" t="s">
        <v>409</v>
      </c>
      <c r="C17" t="s">
        <v>441</v>
      </c>
      <c r="E17" t="s">
        <v>461</v>
      </c>
    </row>
    <row r="18" spans="1:5" x14ac:dyDescent="0.25">
      <c r="A18" t="s">
        <v>410</v>
      </c>
      <c r="C18" t="s">
        <v>410</v>
      </c>
      <c r="E18" t="s">
        <v>410</v>
      </c>
    </row>
    <row r="19" spans="1:5" x14ac:dyDescent="0.25">
      <c r="A19" t="s">
        <v>411</v>
      </c>
      <c r="C19" t="s">
        <v>411</v>
      </c>
      <c r="E19" t="s">
        <v>462</v>
      </c>
    </row>
    <row r="20" spans="1:5" x14ac:dyDescent="0.25">
      <c r="A20" t="s">
        <v>412</v>
      </c>
      <c r="C20" t="s">
        <v>412</v>
      </c>
      <c r="E20" t="s">
        <v>463</v>
      </c>
    </row>
    <row r="21" spans="1:5" x14ac:dyDescent="0.25">
      <c r="A21" t="s">
        <v>413</v>
      </c>
      <c r="C21" t="s">
        <v>413</v>
      </c>
      <c r="E21" t="s">
        <v>411</v>
      </c>
    </row>
    <row r="22" spans="1:5" x14ac:dyDescent="0.25">
      <c r="A22" t="s">
        <v>414</v>
      </c>
      <c r="C22" t="s">
        <v>414</v>
      </c>
      <c r="E22" t="s">
        <v>464</v>
      </c>
    </row>
    <row r="23" spans="1:5" x14ac:dyDescent="0.25">
      <c r="A23" t="s">
        <v>415</v>
      </c>
      <c r="C23" t="s">
        <v>415</v>
      </c>
      <c r="E23" t="s">
        <v>465</v>
      </c>
    </row>
    <row r="24" spans="1:5" x14ac:dyDescent="0.25">
      <c r="A24" t="s">
        <v>416</v>
      </c>
      <c r="C24" t="s">
        <v>416</v>
      </c>
      <c r="E24" t="s">
        <v>412</v>
      </c>
    </row>
    <row r="25" spans="1:5" x14ac:dyDescent="0.25">
      <c r="A25" t="s">
        <v>417</v>
      </c>
      <c r="C25" t="s">
        <v>417</v>
      </c>
      <c r="E25" t="s">
        <v>466</v>
      </c>
    </row>
    <row r="26" spans="1:5" x14ac:dyDescent="0.25">
      <c r="A26" t="s">
        <v>418</v>
      </c>
      <c r="C26" t="s">
        <v>442</v>
      </c>
      <c r="E26" t="s">
        <v>467</v>
      </c>
    </row>
    <row r="27" spans="1:5" x14ac:dyDescent="0.25">
      <c r="A27" t="s">
        <v>419</v>
      </c>
      <c r="C27" t="s">
        <v>418</v>
      </c>
      <c r="E27" t="s">
        <v>413</v>
      </c>
    </row>
    <row r="28" spans="1:5" x14ac:dyDescent="0.25">
      <c r="A28" t="s">
        <v>420</v>
      </c>
      <c r="C28" t="s">
        <v>419</v>
      </c>
      <c r="E28" t="s">
        <v>468</v>
      </c>
    </row>
    <row r="29" spans="1:5" x14ac:dyDescent="0.25">
      <c r="A29" t="s">
        <v>421</v>
      </c>
      <c r="C29" t="s">
        <v>443</v>
      </c>
      <c r="E29" t="s">
        <v>469</v>
      </c>
    </row>
    <row r="30" spans="1:5" x14ac:dyDescent="0.25">
      <c r="A30" t="s">
        <v>422</v>
      </c>
      <c r="C30" t="s">
        <v>444</v>
      </c>
      <c r="E30" t="s">
        <v>414</v>
      </c>
    </row>
    <row r="31" spans="1:5" x14ac:dyDescent="0.25">
      <c r="A31" t="s">
        <v>423</v>
      </c>
      <c r="C31" t="s">
        <v>445</v>
      </c>
      <c r="E31" t="s">
        <v>470</v>
      </c>
    </row>
    <row r="32" spans="1:5" x14ac:dyDescent="0.25">
      <c r="A32" t="s">
        <v>424</v>
      </c>
      <c r="C32" t="s">
        <v>422</v>
      </c>
      <c r="E32" t="s">
        <v>465</v>
      </c>
    </row>
    <row r="33" spans="1:5" x14ac:dyDescent="0.25">
      <c r="A33" t="s">
        <v>425</v>
      </c>
      <c r="C33" t="s">
        <v>423</v>
      </c>
      <c r="E33" t="s">
        <v>415</v>
      </c>
    </row>
    <row r="34" spans="1:5" x14ac:dyDescent="0.25">
      <c r="A34" t="s">
        <v>426</v>
      </c>
      <c r="C34" t="s">
        <v>424</v>
      </c>
      <c r="E34" t="s">
        <v>416</v>
      </c>
    </row>
    <row r="35" spans="1:5" x14ac:dyDescent="0.25">
      <c r="A35" t="s">
        <v>423</v>
      </c>
      <c r="C35" t="s">
        <v>425</v>
      </c>
      <c r="E35" t="s">
        <v>417</v>
      </c>
    </row>
    <row r="36" spans="1:5" x14ac:dyDescent="0.25">
      <c r="A36" t="s">
        <v>427</v>
      </c>
      <c r="C36" t="s">
        <v>446</v>
      </c>
      <c r="E36" t="s">
        <v>442</v>
      </c>
    </row>
    <row r="37" spans="1:5" x14ac:dyDescent="0.25">
      <c r="A37" t="s">
        <v>428</v>
      </c>
      <c r="C37" t="s">
        <v>426</v>
      </c>
      <c r="E37" t="s">
        <v>471</v>
      </c>
    </row>
    <row r="38" spans="1:5" x14ac:dyDescent="0.25">
      <c r="A38" t="s">
        <v>429</v>
      </c>
      <c r="C38" t="s">
        <v>423</v>
      </c>
      <c r="E38" t="s">
        <v>472</v>
      </c>
    </row>
    <row r="39" spans="1:5" x14ac:dyDescent="0.25">
      <c r="A39" t="s">
        <v>430</v>
      </c>
      <c r="C39" t="s">
        <v>427</v>
      </c>
      <c r="E39" t="s">
        <v>473</v>
      </c>
    </row>
    <row r="40" spans="1:5" x14ac:dyDescent="0.25">
      <c r="A40" t="s">
        <v>431</v>
      </c>
      <c r="C40" t="s">
        <v>428</v>
      </c>
      <c r="E40" t="s">
        <v>418</v>
      </c>
    </row>
    <row r="41" spans="1:5" x14ac:dyDescent="0.25">
      <c r="A41" t="s">
        <v>432</v>
      </c>
      <c r="C41" t="s">
        <v>447</v>
      </c>
      <c r="E41" t="s">
        <v>419</v>
      </c>
    </row>
    <row r="42" spans="1:5" x14ac:dyDescent="0.25">
      <c r="A42" t="s">
        <v>433</v>
      </c>
      <c r="C42" t="s">
        <v>448</v>
      </c>
      <c r="E42" t="s">
        <v>420</v>
      </c>
    </row>
    <row r="43" spans="1:5" x14ac:dyDescent="0.25">
      <c r="C43" t="s">
        <v>449</v>
      </c>
      <c r="E43" t="s">
        <v>444</v>
      </c>
    </row>
    <row r="44" spans="1:5" x14ac:dyDescent="0.25">
      <c r="C44" t="s">
        <v>450</v>
      </c>
      <c r="E44" t="s">
        <v>445</v>
      </c>
    </row>
    <row r="45" spans="1:5" x14ac:dyDescent="0.25">
      <c r="C45" t="s">
        <v>451</v>
      </c>
      <c r="E45" t="s">
        <v>474</v>
      </c>
    </row>
    <row r="46" spans="1:5" x14ac:dyDescent="0.25">
      <c r="C46" t="s">
        <v>452</v>
      </c>
      <c r="E46" t="s">
        <v>475</v>
      </c>
    </row>
    <row r="47" spans="1:5" x14ac:dyDescent="0.25">
      <c r="C47" t="s">
        <v>453</v>
      </c>
      <c r="E47" t="s">
        <v>476</v>
      </c>
    </row>
    <row r="48" spans="1:5" x14ac:dyDescent="0.25">
      <c r="E48" t="s">
        <v>422</v>
      </c>
    </row>
    <row r="49" spans="5:5" x14ac:dyDescent="0.25">
      <c r="E49" t="s">
        <v>423</v>
      </c>
    </row>
    <row r="50" spans="5:5" x14ac:dyDescent="0.25">
      <c r="E50" t="s">
        <v>424</v>
      </c>
    </row>
    <row r="51" spans="5:5" x14ac:dyDescent="0.25">
      <c r="E51" t="s">
        <v>425</v>
      </c>
    </row>
    <row r="52" spans="5:5" x14ac:dyDescent="0.25">
      <c r="E52" t="s">
        <v>446</v>
      </c>
    </row>
    <row r="53" spans="5:5" x14ac:dyDescent="0.25">
      <c r="E53" t="s">
        <v>477</v>
      </c>
    </row>
    <row r="54" spans="5:5" x14ac:dyDescent="0.25">
      <c r="E54" t="s">
        <v>478</v>
      </c>
    </row>
    <row r="55" spans="5:5" x14ac:dyDescent="0.25">
      <c r="E55" t="s">
        <v>479</v>
      </c>
    </row>
    <row r="56" spans="5:5" x14ac:dyDescent="0.25">
      <c r="E56" t="s">
        <v>426</v>
      </c>
    </row>
    <row r="57" spans="5:5" x14ac:dyDescent="0.25">
      <c r="E57" t="s">
        <v>423</v>
      </c>
    </row>
    <row r="58" spans="5:5" x14ac:dyDescent="0.25">
      <c r="E58" t="s">
        <v>427</v>
      </c>
    </row>
    <row r="59" spans="5:5" x14ac:dyDescent="0.25">
      <c r="E59" t="s">
        <v>428</v>
      </c>
    </row>
    <row r="60" spans="5:5" x14ac:dyDescent="0.25">
      <c r="E60" t="s">
        <v>447</v>
      </c>
    </row>
    <row r="61" spans="5:5" x14ac:dyDescent="0.25">
      <c r="E61" t="s">
        <v>480</v>
      </c>
    </row>
    <row r="62" spans="5:5" x14ac:dyDescent="0.25">
      <c r="E62" t="s">
        <v>481</v>
      </c>
    </row>
    <row r="63" spans="5:5" x14ac:dyDescent="0.25">
      <c r="E63" t="s">
        <v>482</v>
      </c>
    </row>
    <row r="64" spans="5:5" x14ac:dyDescent="0.25">
      <c r="E64" t="s">
        <v>429</v>
      </c>
    </row>
    <row r="65" spans="5:5" x14ac:dyDescent="0.25">
      <c r="E65" t="s">
        <v>430</v>
      </c>
    </row>
    <row r="66" spans="5:5" x14ac:dyDescent="0.25">
      <c r="E66" t="s">
        <v>431</v>
      </c>
    </row>
    <row r="67" spans="5:5" x14ac:dyDescent="0.25">
      <c r="E67" t="s">
        <v>432</v>
      </c>
    </row>
    <row r="68" spans="5:5" x14ac:dyDescent="0.25">
      <c r="E68" t="s">
        <v>446</v>
      </c>
    </row>
    <row r="69" spans="5:5" x14ac:dyDescent="0.25">
      <c r="E69" t="s">
        <v>483</v>
      </c>
    </row>
    <row r="70" spans="5:5" x14ac:dyDescent="0.25">
      <c r="E70" t="s">
        <v>484</v>
      </c>
    </row>
    <row r="71" spans="5:5" x14ac:dyDescent="0.25">
      <c r="E71" t="s">
        <v>476</v>
      </c>
    </row>
    <row r="72" spans="5:5" x14ac:dyDescent="0.25">
      <c r="E72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Graphs</vt:lpstr>
      <vt:lpstr>Direct Central</vt:lpstr>
      <vt:lpstr>Direct Distributed</vt:lpstr>
      <vt:lpstr>Broker Central</vt:lpstr>
      <vt:lpstr>Broker Distributed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Muradaz</dc:creator>
  <cp:lastModifiedBy>Patrick Muradaz</cp:lastModifiedBy>
  <dcterms:created xsi:type="dcterms:W3CDTF">2015-06-05T18:17:20Z</dcterms:created>
  <dcterms:modified xsi:type="dcterms:W3CDTF">2023-03-29T18:47:24Z</dcterms:modified>
</cp:coreProperties>
</file>